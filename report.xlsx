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tmp" ContentType="image/png"/>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TC\Desktop\Hospital emergency room excel\"/>
    </mc:Choice>
  </mc:AlternateContent>
  <xr:revisionPtr revIDLastSave="0" documentId="13_ncr:1_{32FADB58-471B-4E54-AE98-6C990725B16A}" xr6:coauthVersionLast="47" xr6:coauthVersionMax="47" xr10:uidLastSave="{00000000-0000-0000-0000-000000000000}"/>
  <bookViews>
    <workbookView xWindow="-108" yWindow="-108" windowWidth="23256" windowHeight="12456" activeTab="1" xr2:uid="{50597526-25E2-4B42-810C-44E95B1F3079}"/>
  </bookViews>
  <sheets>
    <sheet name="Pivot Report" sheetId="1" r:id="rId1"/>
    <sheet name="Dashboard" sheetId="3" r:id="rId2"/>
  </sheets>
  <definedNames>
    <definedName name="Slicer_Date__Month">#N/A</definedName>
    <definedName name="Slicer_Date__Year">#N/A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s>
  <extLst>
    <ext xmlns:x14="http://schemas.microsoft.com/office/spreadsheetml/2009/9/main" uri="{876F7934-8845-4945-9796-88D515C7AA90}">
      <x14:pivotCaches>
        <pivotCache cacheId="12"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e0eedf40-e5a4-4818-b8ed-31cee07df74c" name="Hospital Emergency Room Data" connection="Query - Hospital Emergency Room Data"/>
          <x15:modelTable id="Calender Table_c3fd8c07-c78a-4ff3-a4d8-90d70e4d0565" name="Calender Table" connection="Query - Calender Table"/>
        </x15:modelTables>
        <x15:modelRelationships>
          <x15:modelRelationship fromTable="Hospital Emergency Room 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7" i="1" l="1"/>
  <c r="C47" i="1"/>
  <c r="B48" i="1"/>
  <c r="C48" i="1"/>
  <c r="A47"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31B498-E449-4AD5-B82D-4F1F793588A2}" name="Query - Calender Table" description="Connection to the 'Calender Table' query in the workbook." type="100" refreshedVersion="7" minRefreshableVersion="5">
    <extLst>
      <ext xmlns:x15="http://schemas.microsoft.com/office/spreadsheetml/2010/11/main" uri="{DE250136-89BD-433C-8126-D09CA5730AF9}">
        <x15:connection id="9586d236-9890-4371-8e8a-43903f324b3f"/>
      </ext>
    </extLst>
  </connection>
  <connection id="2" xr16:uid="{82ED06CD-6A61-468A-8449-DC80CA788662}"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62f254ea-47c2-4765-ae81-5dfe47d4238d"/>
      </ext>
    </extLst>
  </connection>
  <connection id="3" xr16:uid="{C3E04504-5FDB-4D24-AB16-E58EB76371AC}"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<sst xmlns="http://schemas.openxmlformats.org/spreadsheetml/2006/main" count="152" uniqueCount="72">
  <si>
    <t>Distinct Count of Patient Id</t>
  </si>
  <si>
    <t>No. of Patient</t>
  </si>
  <si>
    <t>Average of Patient Waittime</t>
  </si>
  <si>
    <t>Admitted</t>
  </si>
  <si>
    <t>Not Admitted</t>
  </si>
  <si>
    <t>Average of Patient Satisfaction Score</t>
  </si>
  <si>
    <t>Row Labels</t>
  </si>
  <si>
    <t>Grand Total</t>
  </si>
  <si>
    <t>daily trends of no. of patient</t>
  </si>
  <si>
    <t>average wait time</t>
  </si>
  <si>
    <t xml:space="preserve">satisfaction score </t>
  </si>
  <si>
    <t>Count of Patient Admission Flag</t>
  </si>
  <si>
    <t>Count of Patient Admission Flag2</t>
  </si>
  <si>
    <t>Admission Status</t>
  </si>
  <si>
    <t>% Status</t>
  </si>
  <si>
    <t>Count of Age Group</t>
  </si>
  <si>
    <t>0-9</t>
  </si>
  <si>
    <t>10-19</t>
  </si>
  <si>
    <t>20-29</t>
  </si>
  <si>
    <t>30-39</t>
  </si>
  <si>
    <t>40-49</t>
  </si>
  <si>
    <t>50-59</t>
  </si>
  <si>
    <t>60-69</t>
  </si>
  <si>
    <t>70-79</t>
  </si>
  <si>
    <t>Male</t>
  </si>
  <si>
    <t>None</t>
  </si>
  <si>
    <t>Delayed</t>
  </si>
  <si>
    <t>Female</t>
  </si>
  <si>
    <t>Ontime</t>
  </si>
  <si>
    <t>General Practice</t>
  </si>
  <si>
    <t>Orthopedics</t>
  </si>
  <si>
    <t>Physiotherapy</t>
  </si>
  <si>
    <t>Gastroenterology</t>
  </si>
  <si>
    <t>Renal</t>
  </si>
  <si>
    <t>Cardiology</t>
  </si>
  <si>
    <t>Age group wise analysis</t>
  </si>
  <si>
    <t>Count of Patient Attend Status</t>
  </si>
  <si>
    <t>Attented status</t>
  </si>
  <si>
    <t>Count of Patient Gender</t>
  </si>
  <si>
    <t>Neurology</t>
  </si>
  <si>
    <t>Count of Department Referral</t>
  </si>
  <si>
    <t>2024</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</si>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</sst>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theme="1" tint="0.249977111117893"/>
        <bgColor indexed="64"/>
      </patternFill>
    </fill>
    <fill>
      <patternFill patternType="solid">
        <fgColor theme="4" tint="0.39997558519241921"/>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applyNumberFormat="1"/>
    <xf numFmtId="0" fontId="0" fillId="0" borderId="0" xfId="0" pivotButton="1"/>
    <xf numFmtId="2" fontId="0" fillId="0" borderId="0" xfId="0" applyNumberFormat="1"/>
    <xf numFmtId="1" fontId="0" fillId="0" borderId="0" xfId="0" applyNumberFormat="1"/>
    <xf numFmtId="0" fontId="0" fillId="2" borderId="0" xfId="0" applyFill="1"/>
    <xf numFmtId="0" fontId="0" fillId="0" borderId="0" xfId="0" applyAlignment="1">
      <alignment horizontal="left"/>
    </xf>
    <xf numFmtId="10" fontId="0" fillId="0" borderId="0" xfId="0" applyNumberFormat="1"/>
    <xf numFmtId="0" fontId="0" fillId="3" borderId="0" xfId="0" applyFill="1"/>
    <xf numFmtId="0" fontId="0" fillId="4" borderId="0" xfId="0" applyFill="1"/>
    <xf numFmtId="0" fontId="2" fillId="3" borderId="0" xfId="0" applyFont="1" applyFill="1" applyAlignment="1">
      <alignment horizontal="center"/>
    </xf>
    <xf numFmtId="0" fontId="0" fillId="4" borderId="0" xfId="0" applyFill="1" applyAlignment="1">
      <alignment horizontal="center"/>
    </xf>
    <xf numFmtId="9" fontId="0" fillId="4" borderId="0" xfId="1" applyFont="1" applyFill="1" applyAlignment="1">
      <alignment horizontal="center"/>
    </xf>
  </cellXfs>
  <cellStyles count="2">
    <cellStyle name="Normal" xfId="0" builtinId="0"/>
    <cellStyle name="Percent" xfId="1" builtinId="5"/>
  </cellStyles>
  <dxfs count="20">
    <dxf>
      <numFmt numFmtId="1" formatCode="0"/>
    </dxf>
    <dxf>
      <numFmt numFmtId="2" formatCode="0.00"/>
    </dxf>
    <dxf>
      <numFmt numFmtId="2" formatCode="0.00"/>
    </dxf>
    <dxf>
      <numFmt numFmtId="1" formatCode="0"/>
    </dxf>
    <dxf>
      <numFmt numFmtId="1" formatCode="0"/>
    </dxf>
    <dxf>
      <numFmt numFmtId="2" formatCode="0.00"/>
    </dxf>
    <dxf>
      <numFmt numFmtId="14" formatCode="0.0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font>
        <b/>
        <color theme="1"/>
      </font>
      <border>
        <bottom style="thin">
          <color theme="5"/>
        </bottom>
        <vertical/>
        <horizontal/>
      </border>
    </dxf>
    <dxf>
      <font>
        <sz val="7"/>
        <color theme="1"/>
      </font>
      <fill>
        <patternFill patternType="solid">
          <bgColor theme="0"/>
        </patternFill>
      </fill>
      <border diagonalUp="0" diagonalDown="0">
        <left/>
        <right/>
        <top/>
        <bottom/>
        <vertical/>
        <horizontal/>
      </border>
    </dxf>
  </dxfs>
  <tableStyles count="1" defaultTableStyle="TableStyleMedium2" defaultPivotStyle="PivotStyleLight16">
    <tableStyle name="My Style" pivot="0" table="0" count="10" xr9:uid="{34F2517F-1C7E-4233-8C2B-034D09D40391}">
      <tableStyleElement type="wholeTable" dxfId="19"/>
      <tableStyleElement type="headerRow" dxfId="1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 Report!PivotTable7</c:name>
    <c:fmtId val="0"/>
  </c:pivotSource>
  <c:chart>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F4DC590F-EC8F-49B2-9DDE-A2B6BC0E1CEB}" type="CELLRANGE">
                  <a:rPr lang="en-US"/>
                  <a:pPr>
                    <a:defRPr sz="500" b="0" i="0" u="none" strike="noStrike" kern="1200" baseline="0">
                      <a:solidFill>
                        <a:schemeClr val="tx1">
                          <a:lumMod val="75000"/>
                          <a:lumOff val="25000"/>
                        </a:schemeClr>
                      </a:solidFill>
                      <a:latin typeface="+mn-lt"/>
                      <a:ea typeface="+mn-ea"/>
                      <a:cs typeface="+mn-cs"/>
                    </a:defRPr>
                  </a:pPr>
                  <a:t>[CELLRANGE]</a:t>
                </a:fld>
                <a:endParaRPr lang="en-IN"/>
              </a:p>
            </c:rich>
          </c:tx>
          <c:numFmt formatCode="General" sourceLinked="0"/>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fld id="{F3A71C65-0B0B-444D-B6FC-662E4BFFA350}" type="CELLRANGE">
                  <a:rPr lang="en-US"/>
                  <a:pPr>
                    <a:defRPr sz="500" b="0" i="0" u="none" strike="noStrike" kern="1200" baseline="0">
                      <a:solidFill>
                        <a:schemeClr val="tx1">
                          <a:lumMod val="75000"/>
                          <a:lumOff val="25000"/>
                        </a:schemeClr>
                      </a:solidFill>
                      <a:latin typeface="+mn-lt"/>
                      <a:ea typeface="+mn-ea"/>
                      <a:cs typeface="+mn-cs"/>
                    </a:defRPr>
                  </a:pPr>
                  <a:t>[CELLRANGE]</a:t>
                </a:fld>
                <a:endParaRPr lang="en-IN"/>
              </a:p>
            </c:rich>
          </c:tx>
          <c:numFmt formatCode="General" sourceLinked="0"/>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6.3566681030542818E-2"/>
          <c:y val="4.7548960226125592E-2"/>
          <c:w val="0.83402345229234409"/>
          <c:h val="0.82797698364627503"/>
        </c:manualLayout>
      </c:layout>
      <c:barChart>
        <c:barDir val="bar"/>
        <c:grouping val="clustered"/>
        <c:varyColors val="0"/>
        <c:ser>
          <c:idx val="0"/>
          <c:order val="0"/>
          <c:tx>
            <c:strRef>
              <c:f>'Pivot Report'!$B$38</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D195-49C7-9036-2BEE8DD646FB}"/>
              </c:ext>
            </c:extLst>
          </c:dPt>
          <c:dPt>
            <c:idx val="1"/>
            <c:invertIfNegative val="0"/>
            <c:bubble3D val="0"/>
            <c:extLst>
              <c:ext xmlns:c16="http://schemas.microsoft.com/office/drawing/2014/chart" uri="{C3380CC4-5D6E-409C-BE32-E72D297353CC}">
                <c16:uniqueId val="{00000001-D195-49C7-9036-2BEE8DD646FB}"/>
              </c:ext>
            </c:extLst>
          </c:dPt>
          <c:dLbls>
            <c:dLbl>
              <c:idx val="0"/>
              <c:tx>
                <c:rich>
                  <a:bodyPr/>
                  <a:lstStyle/>
                  <a:p>
                    <a:fld id="{F4DC590F-EC8F-49B2-9DDE-A2B6BC0E1CE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195-49C7-9036-2BEE8DD646FB}"/>
                </c:ext>
              </c:extLst>
            </c:dLbl>
            <c:dLbl>
              <c:idx val="1"/>
              <c:tx>
                <c:rich>
                  <a:bodyPr/>
                  <a:lstStyle/>
                  <a:p>
                    <a:fld id="{F3A71C65-0B0B-444D-B6FC-662E4BFFA35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195-49C7-9036-2BEE8DD646FB}"/>
                </c:ext>
              </c:extLst>
            </c:dLbl>
            <c:numFmt formatCode="General" sourceLinked="0"/>
            <c:spPr>
              <a:noFill/>
              <a:ln>
                <a:noFill/>
              </a:ln>
              <a:effectLst/>
            </c:spPr>
            <c:txPr>
              <a:bodyPr rot="0" spcFirstLastPara="1" vertOverflow="ellipsis" vert="horz" wrap="non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Report'!$A$39:$A$41</c:f>
              <c:strCache>
                <c:ptCount val="2"/>
                <c:pt idx="0">
                  <c:v>Admitted</c:v>
                </c:pt>
                <c:pt idx="1">
                  <c:v>Not Admitted</c:v>
                </c:pt>
              </c:strCache>
            </c:strRef>
          </c:cat>
          <c:val>
            <c:numRef>
              <c:f>'Pivot Report'!$B$39:$B$41</c:f>
              <c:numCache>
                <c:formatCode>0</c:formatCode>
                <c:ptCount val="2"/>
                <c:pt idx="0">
                  <c:v>235</c:v>
                </c:pt>
                <c:pt idx="1">
                  <c:v>250</c:v>
                </c:pt>
              </c:numCache>
            </c:numRef>
          </c:val>
          <c:extLst>
            <c:ext xmlns:c16="http://schemas.microsoft.com/office/drawing/2014/chart" uri="{C3380CC4-5D6E-409C-BE32-E72D297353CC}">
              <c16:uniqueId val="{00000003-B58E-4A24-9288-58A8E3C09315}"/>
            </c:ext>
          </c:extLst>
        </c:ser>
        <c:ser>
          <c:idx val="1"/>
          <c:order val="1"/>
          <c:tx>
            <c:strRef>
              <c:f>'Pivot Report'!$C$38</c:f>
              <c:strCache>
                <c:ptCount val="1"/>
                <c:pt idx="0">
                  <c:v>Count of Patient Admission Flag2</c:v>
                </c:pt>
              </c:strCache>
            </c:strRef>
          </c:tx>
          <c:spPr>
            <a:solidFill>
              <a:schemeClr val="accent2"/>
            </a:solidFill>
            <a:ln>
              <a:noFill/>
            </a:ln>
            <a:effectLst/>
          </c:spPr>
          <c:invertIfNegative val="0"/>
          <c:cat>
            <c:strRef>
              <c:f>'Pivot Report'!$A$39:$A$41</c:f>
              <c:strCache>
                <c:ptCount val="2"/>
                <c:pt idx="0">
                  <c:v>Admitted</c:v>
                </c:pt>
                <c:pt idx="1">
                  <c:v>Not Admitted</c:v>
                </c:pt>
              </c:strCache>
            </c:strRef>
          </c:cat>
          <c:val>
            <c:numRef>
              <c:f>'Pivot Report'!$C$39:$C$41</c:f>
              <c:numCache>
                <c:formatCode>0.00%</c:formatCode>
                <c:ptCount val="2"/>
                <c:pt idx="0">
                  <c:v>0.4845360824742268</c:v>
                </c:pt>
                <c:pt idx="1">
                  <c:v>0.51546391752577314</c:v>
                </c:pt>
              </c:numCache>
            </c:numRef>
          </c:val>
          <c:extLst>
            <c:ext xmlns:c16="http://schemas.microsoft.com/office/drawing/2014/chart" uri="{C3380CC4-5D6E-409C-BE32-E72D297353CC}">
              <c16:uniqueId val="{00000004-B58E-4A24-9288-58A8E3C09315}"/>
            </c:ext>
          </c:extLst>
        </c:ser>
        <c:dLbls>
          <c:showLegendKey val="0"/>
          <c:showVal val="0"/>
          <c:showCatName val="0"/>
          <c:showSerName val="0"/>
          <c:showPercent val="0"/>
          <c:showBubbleSize val="0"/>
        </c:dLbls>
        <c:gapWidth val="182"/>
        <c:axId val="1715101008"/>
        <c:axId val="1715095600"/>
      </c:barChart>
      <c:catAx>
        <c:axId val="1715101008"/>
        <c:scaling>
          <c:orientation val="minMax"/>
        </c:scaling>
        <c:delete val="1"/>
        <c:axPos val="l"/>
        <c:numFmt formatCode="General" sourceLinked="1"/>
        <c:majorTickMark val="none"/>
        <c:minorTickMark val="none"/>
        <c:tickLblPos val="nextTo"/>
        <c:crossAx val="1715095600"/>
        <c:crosses val="autoZero"/>
        <c:auto val="1"/>
        <c:lblAlgn val="ctr"/>
        <c:lblOffset val="100"/>
        <c:noMultiLvlLbl val="0"/>
      </c:catAx>
      <c:valAx>
        <c:axId val="1715095600"/>
        <c:scaling>
          <c:orientation val="minMax"/>
        </c:scaling>
        <c:delete val="1"/>
        <c:axPos val="b"/>
        <c:numFmt formatCode="0" sourceLinked="1"/>
        <c:majorTickMark val="none"/>
        <c:minorTickMark val="none"/>
        <c:tickLblPos val="nextTo"/>
        <c:crossAx val="1715101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728213261571538E-2"/>
          <c:y val="0.11339753305626407"/>
          <c:w val="0.84261005786630006"/>
          <c:h val="0.55117999765403447"/>
        </c:manualLayout>
      </c:layout>
      <c:areaChart>
        <c:grouping val="standard"/>
        <c:varyColors val="0"/>
        <c:ser>
          <c:idx val="0"/>
          <c:order val="0"/>
          <c:tx>
            <c:strRef>
              <c:f>'Pivot Report'!$D$5</c:f>
              <c:strCache>
                <c:ptCount val="1"/>
                <c:pt idx="0">
                  <c:v>Total</c:v>
                </c:pt>
              </c:strCache>
            </c:strRef>
          </c:tx>
          <c:spPr>
            <a:solidFill>
              <a:schemeClr val="accent1"/>
            </a:solidFill>
            <a:ln w="25400">
              <a:noFill/>
            </a:ln>
            <a:effectLst/>
          </c:spPr>
          <c:cat>
            <c:strRef>
              <c:f>'Pivot Report'!$C$6:$C$36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Report'!$D$6:$D$36</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1-39C9-4C06-9E86-A1E13BFE9409}"/>
            </c:ext>
          </c:extLst>
        </c:ser>
        <c:dLbls>
          <c:showLegendKey val="0"/>
          <c:showVal val="0"/>
          <c:showCatName val="0"/>
          <c:showSerName val="0"/>
          <c:showPercent val="0"/>
          <c:showBubbleSize val="0"/>
        </c:dLbls>
        <c:axId val="1715064816"/>
        <c:axId val="1715066480"/>
      </c:areaChart>
      <c:catAx>
        <c:axId val="1715064816"/>
        <c:scaling>
          <c:orientation val="minMax"/>
        </c:scaling>
        <c:delete val="1"/>
        <c:axPos val="b"/>
        <c:numFmt formatCode="General" sourceLinked="1"/>
        <c:majorTickMark val="out"/>
        <c:minorTickMark val="none"/>
        <c:tickLblPos val="nextTo"/>
        <c:crossAx val="1715066480"/>
        <c:crosses val="autoZero"/>
        <c:auto val="1"/>
        <c:lblAlgn val="ctr"/>
        <c:lblOffset val="100"/>
        <c:noMultiLvlLbl val="0"/>
      </c:catAx>
      <c:valAx>
        <c:axId val="1715066480"/>
        <c:scaling>
          <c:orientation val="minMax"/>
        </c:scaling>
        <c:delete val="1"/>
        <c:axPos val="l"/>
        <c:numFmt formatCode="General" sourceLinked="1"/>
        <c:majorTickMark val="none"/>
        <c:minorTickMark val="none"/>
        <c:tickLblPos val="nextTo"/>
        <c:crossAx val="171506481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 Report!PivotTable5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9144150934294862E-2"/>
          <c:w val="1"/>
          <c:h val="0.86599094345993599"/>
        </c:manualLayout>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Report'!$I$5:$I$35</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1-F6A5-4665-B468-015B37601099}"/>
            </c:ext>
          </c:extLst>
        </c:ser>
        <c:dLbls>
          <c:showLegendKey val="0"/>
          <c:showVal val="0"/>
          <c:showCatName val="0"/>
          <c:showSerName val="0"/>
          <c:showPercent val="0"/>
          <c:showBubbleSize val="0"/>
        </c:dLbls>
        <c:axId val="1715097680"/>
        <c:axId val="1715098096"/>
      </c:areaChart>
      <c:catAx>
        <c:axId val="1715097680"/>
        <c:scaling>
          <c:orientation val="minMax"/>
        </c:scaling>
        <c:delete val="1"/>
        <c:axPos val="b"/>
        <c:numFmt formatCode="General" sourceLinked="1"/>
        <c:majorTickMark val="out"/>
        <c:minorTickMark val="none"/>
        <c:tickLblPos val="nextTo"/>
        <c:crossAx val="1715098096"/>
        <c:crosses val="autoZero"/>
        <c:auto val="1"/>
        <c:lblAlgn val="ctr"/>
        <c:lblOffset val="100"/>
        <c:noMultiLvlLbl val="0"/>
      </c:catAx>
      <c:valAx>
        <c:axId val="1715098096"/>
        <c:scaling>
          <c:orientation val="minMax"/>
        </c:scaling>
        <c:delete val="1"/>
        <c:axPos val="l"/>
        <c:numFmt formatCode="0.00" sourceLinked="1"/>
        <c:majorTickMark val="none"/>
        <c:minorTickMark val="none"/>
        <c:tickLblPos val="nextTo"/>
        <c:crossAx val="17150976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 Report!PivotTable6</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878783269345048E-2"/>
          <c:y val="0"/>
          <c:w val="0.987121216730655"/>
          <c:h val="0.99999999999999989"/>
        </c:manualLayout>
      </c:layout>
      <c:areaChart>
        <c:grouping val="standard"/>
        <c:varyColors val="0"/>
        <c:ser>
          <c:idx val="0"/>
          <c:order val="0"/>
          <c:tx>
            <c:strRef>
              <c:f>'Pivot Report'!$L$4</c:f>
              <c:strCache>
                <c:ptCount val="1"/>
                <c:pt idx="0">
                  <c:v>Total</c:v>
                </c:pt>
              </c:strCache>
            </c:strRef>
          </c:tx>
          <c:spPr>
            <a:solidFill>
              <a:schemeClr val="accent1"/>
            </a:solidFill>
            <a:ln w="25400">
              <a:noFill/>
            </a:ln>
            <a:effectLst/>
          </c:spPr>
          <c:cat>
            <c:strRef>
              <c:f>'Pivot Report'!$K$5:$K$35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Report'!$L$5:$L$35</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1-3D44-4344-A7DF-15309CE4392F}"/>
            </c:ext>
          </c:extLst>
        </c:ser>
        <c:dLbls>
          <c:showLegendKey val="0"/>
          <c:showVal val="0"/>
          <c:showCatName val="0"/>
          <c:showSerName val="0"/>
          <c:showPercent val="0"/>
          <c:showBubbleSize val="0"/>
        </c:dLbls>
        <c:axId val="1715099344"/>
        <c:axId val="1715089360"/>
      </c:areaChart>
      <c:catAx>
        <c:axId val="1715099344"/>
        <c:scaling>
          <c:orientation val="minMax"/>
        </c:scaling>
        <c:delete val="1"/>
        <c:axPos val="b"/>
        <c:numFmt formatCode="General" sourceLinked="1"/>
        <c:majorTickMark val="out"/>
        <c:minorTickMark val="none"/>
        <c:tickLblPos val="nextTo"/>
        <c:crossAx val="1715089360"/>
        <c:crosses val="autoZero"/>
        <c:auto val="1"/>
        <c:lblAlgn val="ctr"/>
        <c:lblOffset val="100"/>
        <c:noMultiLvlLbl val="0"/>
      </c:catAx>
      <c:valAx>
        <c:axId val="1715089360"/>
        <c:scaling>
          <c:orientation val="minMax"/>
        </c:scaling>
        <c:delete val="1"/>
        <c:axPos val="l"/>
        <c:numFmt formatCode="0.00" sourceLinked="1"/>
        <c:majorTickMark val="none"/>
        <c:minorTickMark val="none"/>
        <c:tickLblPos val="nextTo"/>
        <c:crossAx val="171509934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 Report!PivotTable8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Report'!$A$53:$A$61</c:f>
              <c:strCache>
                <c:ptCount val="8"/>
                <c:pt idx="0">
                  <c:v>0-9</c:v>
                </c:pt>
                <c:pt idx="1">
                  <c:v>10-19</c:v>
                </c:pt>
                <c:pt idx="2">
                  <c:v>20-29</c:v>
                </c:pt>
                <c:pt idx="3">
                  <c:v>30-39</c:v>
                </c:pt>
                <c:pt idx="4">
                  <c:v>40-49</c:v>
                </c:pt>
                <c:pt idx="5">
                  <c:v>50-59</c:v>
                </c:pt>
                <c:pt idx="6">
                  <c:v>60-69</c:v>
                </c:pt>
                <c:pt idx="7">
                  <c:v>70-79</c:v>
                </c:pt>
              </c:strCache>
            </c:strRef>
          </c:cat>
          <c:val>
            <c:numRef>
              <c:f>'Pivot Report'!$B$53:$B$61</c:f>
              <c:numCache>
                <c:formatCode>0</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1-C4A7-481E-9C35-E975CA6311FE}"/>
            </c:ext>
          </c:extLst>
        </c:ser>
        <c:dLbls>
          <c:showLegendKey val="0"/>
          <c:showVal val="0"/>
          <c:showCatName val="0"/>
          <c:showSerName val="0"/>
          <c:showPercent val="0"/>
          <c:showBubbleSize val="0"/>
        </c:dLbls>
        <c:gapWidth val="219"/>
        <c:overlap val="-27"/>
        <c:axId val="1630161535"/>
        <c:axId val="1630174015"/>
      </c:barChart>
      <c:catAx>
        <c:axId val="163016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630174015"/>
        <c:crosses val="autoZero"/>
        <c:auto val="1"/>
        <c:lblAlgn val="ctr"/>
        <c:lblOffset val="100"/>
        <c:noMultiLvlLbl val="0"/>
      </c:catAx>
      <c:valAx>
        <c:axId val="1630174015"/>
        <c:scaling>
          <c:orientation val="minMax"/>
        </c:scaling>
        <c:delete val="1"/>
        <c:axPos val="l"/>
        <c:numFmt formatCode="0" sourceLinked="1"/>
        <c:majorTickMark val="none"/>
        <c:minorTickMark val="none"/>
        <c:tickLblPos val="nextTo"/>
        <c:crossAx val="163016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 Report!PivotTable9</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6527981087618493"/>
          <c:y val="0.21229311022390909"/>
          <c:w val="0.73264812480919317"/>
          <c:h val="0.74028700633409084"/>
        </c:manualLayout>
      </c:layout>
      <c:pieChart>
        <c:varyColors val="1"/>
        <c:ser>
          <c:idx val="0"/>
          <c:order val="0"/>
          <c:tx>
            <c:strRef>
              <c:f>'Pivot Report'!$F$52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ED0-4EF5-A80F-C654E9236CC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ED0-4EF5-A80F-C654E9236C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Report'!$E$53:$E$55</c:f>
              <c:strCache>
                <c:ptCount val="2"/>
                <c:pt idx="0">
                  <c:v>Delayed</c:v>
                </c:pt>
                <c:pt idx="1">
                  <c:v>Ontime</c:v>
                </c:pt>
              </c:strCache>
            </c:strRef>
          </c:cat>
          <c:val>
            <c:numRef>
              <c:f>'Pivot Report'!$F$53:$F$55</c:f>
              <c:numCache>
                <c:formatCode>0</c:formatCode>
                <c:ptCount val="2"/>
                <c:pt idx="0">
                  <c:v>297</c:v>
                </c:pt>
                <c:pt idx="1">
                  <c:v>188</c:v>
                </c:pt>
              </c:numCache>
            </c:numRef>
          </c:val>
          <c:extLst>
            <c:ext xmlns:c16="http://schemas.microsoft.com/office/drawing/2014/chart" uri="{C3380CC4-5D6E-409C-BE32-E72D297353CC}">
              <c16:uniqueId val="{00000005-8D29-46AC-B116-73949073381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8778067066695669"/>
          <c:y val="3.1343179344715789E-2"/>
          <c:w val="0.27816073958683962"/>
          <c:h val="0.28556039813942719"/>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 Report!PivotTable10</c:name>
    <c:fmtId val="13"/>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1538538380214274"/>
          <c:y val="0.19926800002411862"/>
          <c:w val="0.72474131544115816"/>
          <c:h val="0.7499252753613701"/>
        </c:manualLayout>
      </c:layout>
      <c:doughnutChart>
        <c:varyColors val="1"/>
        <c:ser>
          <c:idx val="0"/>
          <c:order val="0"/>
          <c:tx>
            <c:strRef>
              <c:f>'Pivot Report'!$F$58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4D5-40B1-B499-5EDB2AE4BEB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4D5-40B1-B499-5EDB2AE4BEB0}"/>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Report'!$E$59:$E$61</c:f>
              <c:strCache>
                <c:ptCount val="2"/>
                <c:pt idx="0">
                  <c:v>Female</c:v>
                </c:pt>
                <c:pt idx="1">
                  <c:v>Male</c:v>
                </c:pt>
              </c:strCache>
            </c:strRef>
          </c:cat>
          <c:val>
            <c:numRef>
              <c:f>'Pivot Report'!$F$59:$F$61</c:f>
              <c:numCache>
                <c:formatCode>0</c:formatCode>
                <c:ptCount val="2"/>
                <c:pt idx="0">
                  <c:v>239</c:v>
                </c:pt>
                <c:pt idx="1">
                  <c:v>246</c:v>
                </c:pt>
              </c:numCache>
            </c:numRef>
          </c:val>
          <c:extLst>
            <c:ext xmlns:c16="http://schemas.microsoft.com/office/drawing/2014/chart" uri="{C3380CC4-5D6E-409C-BE32-E72D297353CC}">
              <c16:uniqueId val="{00000005-7BDD-4BB2-86F0-CD8E952B42D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26504865683817957"/>
          <c:y val="6.0312043199885611E-2"/>
          <c:w val="0.27809651452213074"/>
          <c:h val="0.26350965476786264"/>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[report.xlsx]Pivot Report!PivotTable11</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Report'!$I$52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Report'!$H$53:$H$61</c:f>
              <c:strCache>
                <c:ptCount val="8"/>
                <c:pt idx="0">
                  <c:v>Renal</c:v>
                </c:pt>
                <c:pt idx="1">
                  <c:v>Physiotherapy</c:v>
                </c:pt>
                <c:pt idx="2">
                  <c:v>Neurology</c:v>
                </c:pt>
                <c:pt idx="3">
                  <c:v>Gastroenterology</c:v>
                </c:pt>
                <c:pt idx="4">
                  <c:v>Cardiology</c:v>
                </c:pt>
                <c:pt idx="5">
                  <c:v>Orthopedics</c:v>
                </c:pt>
                <c:pt idx="6">
                  <c:v>General Practice</c:v>
                </c:pt>
                <c:pt idx="7">
                  <c:v>None</c:v>
                </c:pt>
              </c:strCache>
            </c:strRef>
          </c:cat>
          <c:val>
            <c:numRef>
              <c:f>'Pivot Report'!$I$53:$I$61</c:f>
              <c:numCache>
                <c:formatCode>0</c:formatCode>
                <c:ptCount val="8"/>
                <c:pt idx="0">
                  <c:v>2</c:v>
                </c:pt>
                <c:pt idx="1">
                  <c:v>11</c:v>
                </c:pt>
                <c:pt idx="2">
                  <c:v>12</c:v>
                </c:pt>
                <c:pt idx="3">
                  <c:v>12</c:v>
                </c:pt>
                <c:pt idx="4">
                  <c:v>13</c:v>
                </c:pt>
                <c:pt idx="5">
                  <c:v>53</c:v>
                </c:pt>
                <c:pt idx="6">
                  <c:v>91</c:v>
                </c:pt>
                <c:pt idx="7">
                  <c:v>291</c:v>
                </c:pt>
              </c:numCache>
            </c:numRef>
          </c:val>
          <c:extLst>
            <c:ext xmlns:c16="http://schemas.microsoft.com/office/drawing/2014/chart" uri="{C3380CC4-5D6E-409C-BE32-E72D297353CC}">
              <c16:uniqueId val="{00000001-FD02-460C-B95C-A3BC7E9781CD}"/>
            </c:ext>
          </c:extLst>
        </c:ser>
        <c:dLbls>
          <c:showLegendKey val="0"/>
          <c:showVal val="0"/>
          <c:showCatName val="0"/>
          <c:showSerName val="0"/>
          <c:showPercent val="0"/>
          <c:showBubbleSize val="0"/>
        </c:dLbls>
        <c:gapWidth val="182"/>
        <c:axId val="1712737999"/>
        <c:axId val="1712743823"/>
      </c:barChart>
      <c:catAx>
        <c:axId val="1712737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712743823"/>
        <c:crosses val="autoZero"/>
        <c:auto val="1"/>
        <c:lblAlgn val="ctr"/>
        <c:lblOffset val="100"/>
        <c:noMultiLvlLbl val="0"/>
      </c:catAx>
      <c:valAx>
        <c:axId val="1712743823"/>
        <c:scaling>
          <c:orientation val="minMax"/>
        </c:scaling>
        <c:delete val="1"/>
        <c:axPos val="b"/>
        <c:numFmt formatCode="0" sourceLinked="1"/>
        <c:majorTickMark val="none"/>
        <c:minorTickMark val="none"/>
        <c:tickLblPos val="nextTo"/>
        <c:crossAx val="1712737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5.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image" Target="../media/image8.emf"/><Relationship Id="rId17" Type="http://schemas.openxmlformats.org/officeDocument/2006/relationships/image" Target="../media/image9.tmp"/><Relationship Id="rId2" Type="http://schemas.microsoft.com/office/2007/relationships/hdphoto" Target="../media/hdphoto1.wdp"/><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4.xml"/><Relationship Id="rId5" Type="http://schemas.openxmlformats.org/officeDocument/2006/relationships/image" Target="../media/image4.png"/><Relationship Id="rId15" Type="http://schemas.openxmlformats.org/officeDocument/2006/relationships/chart" Target="../charts/chart7.xml"/><Relationship Id="rId10" Type="http://schemas.openxmlformats.org/officeDocument/2006/relationships/chart" Target="../charts/chart3.xml"/><Relationship Id="rId4" Type="http://schemas.openxmlformats.org/officeDocument/2006/relationships/image" Target="../media/image3.svg"/><Relationship Id="rId9" Type="http://schemas.openxmlformats.org/officeDocument/2006/relationships/chart" Target="../charts/chart2.xml"/><Relationship Id="rId14"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0</xdr:colOff>
      <xdr:row>45</xdr:row>
      <xdr:rowOff>160020</xdr:rowOff>
    </xdr:from>
    <xdr:to>
      <xdr:col>4</xdr:col>
      <xdr:colOff>22860</xdr:colOff>
      <xdr:row>48</xdr:row>
      <xdr:rowOff>38100</xdr:rowOff>
    </xdr:to>
    <xdr:graphicFrame macro="">
      <xdr:nvGraphicFramePr>
        <xdr:cNvPr id="6" name="Chart 5">
          <a:extLst>
            <a:ext uri="{FF2B5EF4-FFF2-40B4-BE49-F238E27FC236}">
              <a16:creationId xmlns:a16="http://schemas.microsoft.com/office/drawing/2014/main" id="{F3D7A2CE-9FE1-414B-8034-08800BD96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58270</xdr:colOff>
      <xdr:row>0</xdr:row>
      <xdr:rowOff>58270</xdr:rowOff>
    </xdr:from>
    <xdr:to>
      <xdr:col>5</xdr:col>
      <xdr:colOff>389964</xdr:colOff>
      <xdr:row>3</xdr:row>
      <xdr:rowOff>76200</xdr:rowOff>
    </xdr:to>
    <xdr:sp macro="" textlink="">
      <xdr:nvSpPr>
        <xdr:cNvPr id="2" name="Rectangle: Rounded Corners 1">
          <a:extLst>
            <a:ext uri="{FF2B5EF4-FFF2-40B4-BE49-F238E27FC236}">
              <a16:creationId xmlns:a16="http://schemas.microsoft.com/office/drawing/2014/main" id="{7D4CF512-9293-417D-8A94-61B71790D0B0}"/>
            </a:ext>
          </a:extLst>
        </xdr:cNvPr>
        <xdr:cNvSpPr/>
      </xdr:nvSpPr>
      <xdr:spPr>
        <a:xfrm>
          <a:off x="58270" y="58270"/>
          <a:ext cx="3379694" cy="569259"/>
        </a:xfrm>
        <a:prstGeom prst="roundRect">
          <a:avLst>
            <a:gd name="adj" fmla="val 1588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421341</xdr:colOff>
      <xdr:row>0</xdr:row>
      <xdr:rowOff>58270</xdr:rowOff>
    </xdr:from>
    <xdr:to>
      <xdr:col>7</xdr:col>
      <xdr:colOff>112059</xdr:colOff>
      <xdr:row>3</xdr:row>
      <xdr:rowOff>76200</xdr:rowOff>
    </xdr:to>
    <xdr:sp macro="" textlink="">
      <xdr:nvSpPr>
        <xdr:cNvPr id="3" name="Rectangle: Rounded Corners 2">
          <a:extLst>
            <a:ext uri="{FF2B5EF4-FFF2-40B4-BE49-F238E27FC236}">
              <a16:creationId xmlns:a16="http://schemas.microsoft.com/office/drawing/2014/main" id="{F3CC1637-6D1F-4E5A-B4B5-184BE473ABF0}"/>
            </a:ext>
          </a:extLst>
        </xdr:cNvPr>
        <xdr:cNvSpPr/>
      </xdr:nvSpPr>
      <xdr:spPr>
        <a:xfrm>
          <a:off x="3469341" y="58270"/>
          <a:ext cx="909918" cy="569259"/>
        </a:xfrm>
        <a:prstGeom prst="roundRect">
          <a:avLst>
            <a:gd name="adj" fmla="val 1588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156882</xdr:colOff>
      <xdr:row>0</xdr:row>
      <xdr:rowOff>58270</xdr:rowOff>
    </xdr:from>
    <xdr:to>
      <xdr:col>9</xdr:col>
      <xdr:colOff>228600</xdr:colOff>
      <xdr:row>7</xdr:row>
      <xdr:rowOff>22412</xdr:rowOff>
    </xdr:to>
    <xdr:sp macro="" textlink="">
      <xdr:nvSpPr>
        <xdr:cNvPr id="4" name="Rectangle: Rounded Corners 3">
          <a:extLst>
            <a:ext uri="{FF2B5EF4-FFF2-40B4-BE49-F238E27FC236}">
              <a16:creationId xmlns:a16="http://schemas.microsoft.com/office/drawing/2014/main" id="{A4C580CF-C533-476D-977A-C66D41913D76}"/>
            </a:ext>
          </a:extLst>
        </xdr:cNvPr>
        <xdr:cNvSpPr/>
      </xdr:nvSpPr>
      <xdr:spPr>
        <a:xfrm>
          <a:off x="4424082" y="58270"/>
          <a:ext cx="1290918" cy="1250577"/>
        </a:xfrm>
        <a:prstGeom prst="roundRect">
          <a:avLst>
            <a:gd name="adj" fmla="val 11937"/>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277905</xdr:colOff>
      <xdr:row>0</xdr:row>
      <xdr:rowOff>58270</xdr:rowOff>
    </xdr:from>
    <xdr:to>
      <xdr:col>11</xdr:col>
      <xdr:colOff>349623</xdr:colOff>
      <xdr:row>7</xdr:row>
      <xdr:rowOff>22412</xdr:rowOff>
    </xdr:to>
    <xdr:sp macro="" textlink="">
      <xdr:nvSpPr>
        <xdr:cNvPr id="5" name="Rectangle: Rounded Corners 4">
          <a:extLst>
            <a:ext uri="{FF2B5EF4-FFF2-40B4-BE49-F238E27FC236}">
              <a16:creationId xmlns:a16="http://schemas.microsoft.com/office/drawing/2014/main" id="{C2DE8473-6376-47D0-9286-79A8847A1A04}"/>
            </a:ext>
          </a:extLst>
        </xdr:cNvPr>
        <xdr:cNvSpPr/>
      </xdr:nvSpPr>
      <xdr:spPr>
        <a:xfrm>
          <a:off x="5764305" y="58270"/>
          <a:ext cx="1290918" cy="1250577"/>
        </a:xfrm>
        <a:prstGeom prst="roundRect">
          <a:avLst>
            <a:gd name="adj" fmla="val 11937"/>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58271</xdr:colOff>
      <xdr:row>3</xdr:row>
      <xdr:rowOff>125505</xdr:rowOff>
    </xdr:from>
    <xdr:to>
      <xdr:col>1</xdr:col>
      <xdr:colOff>35859</xdr:colOff>
      <xdr:row>16</xdr:row>
      <xdr:rowOff>98611</xdr:rowOff>
    </xdr:to>
    <xdr:sp macro="" textlink="">
      <xdr:nvSpPr>
        <xdr:cNvPr id="6" name="Rectangle: Rounded Corners 5">
          <a:extLst>
            <a:ext uri="{FF2B5EF4-FFF2-40B4-BE49-F238E27FC236}">
              <a16:creationId xmlns:a16="http://schemas.microsoft.com/office/drawing/2014/main" id="{8F56D356-7BA2-442E-B412-3CF10A3590E6}"/>
            </a:ext>
          </a:extLst>
        </xdr:cNvPr>
        <xdr:cNvSpPr/>
      </xdr:nvSpPr>
      <xdr:spPr>
        <a:xfrm>
          <a:off x="58271" y="676834"/>
          <a:ext cx="587188" cy="2362201"/>
        </a:xfrm>
        <a:prstGeom prst="roundRect">
          <a:avLst>
            <a:gd name="adj" fmla="val 5252"/>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80682</xdr:colOff>
      <xdr:row>3</xdr:row>
      <xdr:rowOff>125505</xdr:rowOff>
    </xdr:from>
    <xdr:to>
      <xdr:col>3</xdr:col>
      <xdr:colOff>71638</xdr:colOff>
      <xdr:row>7</xdr:row>
      <xdr:rowOff>22412</xdr:rowOff>
    </xdr:to>
    <xdr:sp macro="" textlink="">
      <xdr:nvSpPr>
        <xdr:cNvPr id="7" name="Rectangle: Rounded Corners 6">
          <a:extLst>
            <a:ext uri="{FF2B5EF4-FFF2-40B4-BE49-F238E27FC236}">
              <a16:creationId xmlns:a16="http://schemas.microsoft.com/office/drawing/2014/main" id="{6CF5C18B-B9B3-457E-8A29-FFA5B0C323CB}"/>
            </a:ext>
          </a:extLst>
        </xdr:cNvPr>
        <xdr:cNvSpPr/>
      </xdr:nvSpPr>
      <xdr:spPr>
        <a:xfrm>
          <a:off x="690282" y="676834"/>
          <a:ext cx="1210156" cy="632013"/>
        </a:xfrm>
        <a:prstGeom prst="roundRect">
          <a:avLst>
            <a:gd name="adj" fmla="val 5252"/>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120259</xdr:colOff>
      <xdr:row>3</xdr:row>
      <xdr:rowOff>129987</xdr:rowOff>
    </xdr:from>
    <xdr:to>
      <xdr:col>5</xdr:col>
      <xdr:colOff>84203</xdr:colOff>
      <xdr:row>7</xdr:row>
      <xdr:rowOff>26894</xdr:rowOff>
    </xdr:to>
    <xdr:sp macro="" textlink="">
      <xdr:nvSpPr>
        <xdr:cNvPr id="8" name="Rectangle: Rounded Corners 7">
          <a:extLst>
            <a:ext uri="{FF2B5EF4-FFF2-40B4-BE49-F238E27FC236}">
              <a16:creationId xmlns:a16="http://schemas.microsoft.com/office/drawing/2014/main" id="{6AE619ED-8FBE-4C07-805C-3D6260466128}"/>
            </a:ext>
          </a:extLst>
        </xdr:cNvPr>
        <xdr:cNvSpPr/>
      </xdr:nvSpPr>
      <xdr:spPr>
        <a:xfrm>
          <a:off x="1949059" y="681316"/>
          <a:ext cx="1183144" cy="632013"/>
        </a:xfrm>
        <a:prstGeom prst="roundRect">
          <a:avLst>
            <a:gd name="adj" fmla="val 5252"/>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143631</xdr:colOff>
      <xdr:row>3</xdr:row>
      <xdr:rowOff>129987</xdr:rowOff>
    </xdr:from>
    <xdr:to>
      <xdr:col>7</xdr:col>
      <xdr:colOff>107575</xdr:colOff>
      <xdr:row>7</xdr:row>
      <xdr:rowOff>26894</xdr:rowOff>
    </xdr:to>
    <xdr:sp macro="" textlink="">
      <xdr:nvSpPr>
        <xdr:cNvPr id="9" name="Rectangle: Rounded Corners 8">
          <a:extLst>
            <a:ext uri="{FF2B5EF4-FFF2-40B4-BE49-F238E27FC236}">
              <a16:creationId xmlns:a16="http://schemas.microsoft.com/office/drawing/2014/main" id="{29A033A9-983D-4EAC-AA5B-F7743086CCD7}"/>
            </a:ext>
          </a:extLst>
        </xdr:cNvPr>
        <xdr:cNvSpPr/>
      </xdr:nvSpPr>
      <xdr:spPr>
        <a:xfrm>
          <a:off x="3191631" y="681316"/>
          <a:ext cx="1183144" cy="632013"/>
        </a:xfrm>
        <a:prstGeom prst="roundRect">
          <a:avLst>
            <a:gd name="adj" fmla="val 5252"/>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80681</xdr:colOff>
      <xdr:row>10</xdr:row>
      <xdr:rowOff>85165</xdr:rowOff>
    </xdr:from>
    <xdr:to>
      <xdr:col>7</xdr:col>
      <xdr:colOff>116541</xdr:colOff>
      <xdr:row>16</xdr:row>
      <xdr:rowOff>89648</xdr:rowOff>
    </xdr:to>
    <xdr:sp macro="" textlink="">
      <xdr:nvSpPr>
        <xdr:cNvPr id="15" name="Rectangle: Rounded Corners 14">
          <a:extLst>
            <a:ext uri="{FF2B5EF4-FFF2-40B4-BE49-F238E27FC236}">
              <a16:creationId xmlns:a16="http://schemas.microsoft.com/office/drawing/2014/main" id="{16863DB2-5874-4446-8661-810C54785602}"/>
            </a:ext>
          </a:extLst>
        </xdr:cNvPr>
        <xdr:cNvSpPr/>
      </xdr:nvSpPr>
      <xdr:spPr>
        <a:xfrm>
          <a:off x="690281" y="1922930"/>
          <a:ext cx="3693460" cy="1107142"/>
        </a:xfrm>
        <a:prstGeom prst="roundRect">
          <a:avLst>
            <a:gd name="adj" fmla="val 5252"/>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58269</xdr:colOff>
      <xdr:row>7</xdr:row>
      <xdr:rowOff>85164</xdr:rowOff>
    </xdr:from>
    <xdr:to>
      <xdr:col>7</xdr:col>
      <xdr:colOff>89647</xdr:colOff>
      <xdr:row>10</xdr:row>
      <xdr:rowOff>31375</xdr:rowOff>
    </xdr:to>
    <xdr:sp macro="" textlink="">
      <xdr:nvSpPr>
        <xdr:cNvPr id="16" name="Rectangle: Rounded Corners 15">
          <a:extLst>
            <a:ext uri="{FF2B5EF4-FFF2-40B4-BE49-F238E27FC236}">
              <a16:creationId xmlns:a16="http://schemas.microsoft.com/office/drawing/2014/main" id="{65E023D4-9755-49A2-A594-60AB8D158E4D}"/>
            </a:ext>
          </a:extLst>
        </xdr:cNvPr>
        <xdr:cNvSpPr/>
      </xdr:nvSpPr>
      <xdr:spPr>
        <a:xfrm>
          <a:off x="667869" y="1371599"/>
          <a:ext cx="3688978" cy="497541"/>
        </a:xfrm>
        <a:prstGeom prst="roundRect">
          <a:avLst>
            <a:gd name="adj" fmla="val 5252"/>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161365</xdr:colOff>
      <xdr:row>7</xdr:row>
      <xdr:rowOff>58270</xdr:rowOff>
    </xdr:from>
    <xdr:to>
      <xdr:col>11</xdr:col>
      <xdr:colOff>349623</xdr:colOff>
      <xdr:row>16</xdr:row>
      <xdr:rowOff>85164</xdr:rowOff>
    </xdr:to>
    <xdr:sp macro="" textlink="">
      <xdr:nvSpPr>
        <xdr:cNvPr id="17" name="Rectangle: Rounded Corners 16">
          <a:extLst>
            <a:ext uri="{FF2B5EF4-FFF2-40B4-BE49-F238E27FC236}">
              <a16:creationId xmlns:a16="http://schemas.microsoft.com/office/drawing/2014/main" id="{A1B604ED-B0DA-4EFA-A2A7-638FA3C2D681}"/>
            </a:ext>
          </a:extLst>
        </xdr:cNvPr>
        <xdr:cNvSpPr/>
      </xdr:nvSpPr>
      <xdr:spPr>
        <a:xfrm>
          <a:off x="4428565" y="1344705"/>
          <a:ext cx="2626658" cy="1680883"/>
        </a:xfrm>
        <a:prstGeom prst="roundRect">
          <a:avLst>
            <a:gd name="adj" fmla="val 8353"/>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188259</xdr:colOff>
      <xdr:row>1</xdr:row>
      <xdr:rowOff>40342</xdr:rowOff>
    </xdr:from>
    <xdr:to>
      <xdr:col>5</xdr:col>
      <xdr:colOff>242047</xdr:colOff>
      <xdr:row>2</xdr:row>
      <xdr:rowOff>179294</xdr:rowOff>
    </xdr:to>
    <xdr:sp macro="" textlink="">
      <xdr:nvSpPr>
        <xdr:cNvPr id="18" name="TextBox 17">
          <a:extLst>
            <a:ext uri="{FF2B5EF4-FFF2-40B4-BE49-F238E27FC236}">
              <a16:creationId xmlns:a16="http://schemas.microsoft.com/office/drawing/2014/main" id="{7B2644F7-C0A0-4554-9964-4D1331F47294}"/>
            </a:ext>
          </a:extLst>
        </xdr:cNvPr>
        <xdr:cNvSpPr txBox="1"/>
      </xdr:nvSpPr>
      <xdr:spPr>
        <a:xfrm>
          <a:off x="797859" y="224118"/>
          <a:ext cx="2492188" cy="322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t>Hospital Emergency</a:t>
          </a:r>
          <a:r>
            <a:rPr lang="en-IN" sz="1200" baseline="0"/>
            <a:t> Room Dashboard</a:t>
          </a:r>
          <a:endParaRPr lang="en-IN" sz="1200"/>
        </a:p>
      </xdr:txBody>
    </xdr:sp>
    <xdr:clientData/>
  </xdr:twoCellAnchor>
  <xdr:twoCellAnchor editAs="oneCell">
    <xdr:from>
      <xdr:col>0</xdr:col>
      <xdr:colOff>44825</xdr:colOff>
      <xdr:row>0</xdr:row>
      <xdr:rowOff>31376</xdr:rowOff>
    </xdr:from>
    <xdr:to>
      <xdr:col>1</xdr:col>
      <xdr:colOff>340659</xdr:colOff>
      <xdr:row>3</xdr:row>
      <xdr:rowOff>85165</xdr:rowOff>
    </xdr:to>
    <xdr:pic>
      <xdr:nvPicPr>
        <xdr:cNvPr id="20" name="Picture 19">
          <a:extLst>
            <a:ext uri="{FF2B5EF4-FFF2-40B4-BE49-F238E27FC236}">
              <a16:creationId xmlns:a16="http://schemas.microsoft.com/office/drawing/2014/main" id="{FCF0BC77-61FC-4731-8AC6-35B56B2C7542}"/>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44825" y="31376"/>
          <a:ext cx="905434" cy="605118"/>
        </a:xfrm>
        <a:prstGeom prst="rect">
          <a:avLst/>
        </a:prstGeom>
        <a:ln>
          <a:noFill/>
        </a:ln>
      </xdr:spPr>
    </xdr:pic>
    <xdr:clientData/>
  </xdr:twoCellAnchor>
  <xdr:twoCellAnchor editAs="absolute">
    <xdr:from>
      <xdr:col>1</xdr:col>
      <xdr:colOff>210670</xdr:colOff>
      <xdr:row>2</xdr:row>
      <xdr:rowOff>40341</xdr:rowOff>
    </xdr:from>
    <xdr:to>
      <xdr:col>5</xdr:col>
      <xdr:colOff>264458</xdr:colOff>
      <xdr:row>3</xdr:row>
      <xdr:rowOff>31377</xdr:rowOff>
    </xdr:to>
    <xdr:sp macro="" textlink="">
      <xdr:nvSpPr>
        <xdr:cNvPr id="21" name="TextBox 20">
          <a:extLst>
            <a:ext uri="{FF2B5EF4-FFF2-40B4-BE49-F238E27FC236}">
              <a16:creationId xmlns:a16="http://schemas.microsoft.com/office/drawing/2014/main" id="{5141A8F2-9923-4B35-8CED-64E10FD8A50F}"/>
            </a:ext>
          </a:extLst>
        </xdr:cNvPr>
        <xdr:cNvSpPr txBox="1"/>
      </xdr:nvSpPr>
      <xdr:spPr>
        <a:xfrm>
          <a:off x="820270" y="407894"/>
          <a:ext cx="2492188" cy="174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Monthly</a:t>
          </a:r>
          <a:r>
            <a:rPr lang="en-IN" sz="900" baseline="0"/>
            <a:t> Report</a:t>
          </a:r>
          <a:endParaRPr lang="en-IN" sz="900"/>
        </a:p>
      </xdr:txBody>
    </xdr:sp>
    <xdr:clientData/>
  </xdr:twoCellAnchor>
  <xdr:twoCellAnchor editAs="absolute">
    <xdr:from>
      <xdr:col>1</xdr:col>
      <xdr:colOff>192741</xdr:colOff>
      <xdr:row>4</xdr:row>
      <xdr:rowOff>152400</xdr:rowOff>
    </xdr:from>
    <xdr:to>
      <xdr:col>2</xdr:col>
      <xdr:colOff>484095</xdr:colOff>
      <xdr:row>5</xdr:row>
      <xdr:rowOff>165847</xdr:rowOff>
    </xdr:to>
    <xdr:sp macro="" textlink="">
      <xdr:nvSpPr>
        <xdr:cNvPr id="22" name="TextBox 21">
          <a:extLst>
            <a:ext uri="{FF2B5EF4-FFF2-40B4-BE49-F238E27FC236}">
              <a16:creationId xmlns:a16="http://schemas.microsoft.com/office/drawing/2014/main" id="{10EAFCF2-1782-4155-94AE-59783473FC4C}"/>
            </a:ext>
          </a:extLst>
        </xdr:cNvPr>
        <xdr:cNvSpPr txBox="1"/>
      </xdr:nvSpPr>
      <xdr:spPr>
        <a:xfrm>
          <a:off x="802341" y="887506"/>
          <a:ext cx="900954" cy="19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a:t>
          </a:r>
          <a:r>
            <a:rPr lang="en-IN" sz="800" baseline="0"/>
            <a:t> of Patient</a:t>
          </a:r>
          <a:endParaRPr lang="en-IN" sz="800"/>
        </a:p>
      </xdr:txBody>
    </xdr:sp>
    <xdr:clientData/>
  </xdr:twoCellAnchor>
  <xdr:twoCellAnchor editAs="absolute">
    <xdr:from>
      <xdr:col>1</xdr:col>
      <xdr:colOff>210669</xdr:colOff>
      <xdr:row>3</xdr:row>
      <xdr:rowOff>179296</xdr:rowOff>
    </xdr:from>
    <xdr:to>
      <xdr:col>2</xdr:col>
      <xdr:colOff>502023</xdr:colOff>
      <xdr:row>5</xdr:row>
      <xdr:rowOff>8966</xdr:rowOff>
    </xdr:to>
    <xdr:sp macro="" textlink="'Pivot Report'!A5">
      <xdr:nvSpPr>
        <xdr:cNvPr id="23" name="TextBox 22">
          <a:extLst>
            <a:ext uri="{FF2B5EF4-FFF2-40B4-BE49-F238E27FC236}">
              <a16:creationId xmlns:a16="http://schemas.microsoft.com/office/drawing/2014/main" id="{38D732CB-E40F-4966-99FD-9FC9BEC33C3E}"/>
            </a:ext>
          </a:extLst>
        </xdr:cNvPr>
        <xdr:cNvSpPr txBox="1"/>
      </xdr:nvSpPr>
      <xdr:spPr>
        <a:xfrm>
          <a:off x="820269" y="730625"/>
          <a:ext cx="900954" cy="19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FA3C668-C989-484B-8EE8-5F103C8F284D}" type="TxLink">
            <a:rPr lang="en-US" sz="1100" b="0" i="0" u="none" strike="noStrike">
              <a:solidFill>
                <a:srgbClr val="000000"/>
              </a:solidFill>
              <a:latin typeface="Calibri"/>
              <a:ea typeface="Calibri"/>
              <a:cs typeface="Calibri"/>
            </a:rPr>
            <a:pPr algn="ctr"/>
            <a:t>485</a:t>
          </a:fld>
          <a:endParaRPr lang="en-IN" sz="900"/>
        </a:p>
      </xdr:txBody>
    </xdr:sp>
    <xdr:clientData/>
  </xdr:twoCellAnchor>
  <xdr:twoCellAnchor editAs="absolute">
    <xdr:from>
      <xdr:col>3</xdr:col>
      <xdr:colOff>197222</xdr:colOff>
      <xdr:row>4</xdr:row>
      <xdr:rowOff>183776</xdr:rowOff>
    </xdr:from>
    <xdr:to>
      <xdr:col>4</xdr:col>
      <xdr:colOff>560294</xdr:colOff>
      <xdr:row>6</xdr:row>
      <xdr:rowOff>13446</xdr:rowOff>
    </xdr:to>
    <xdr:sp macro="" textlink="">
      <xdr:nvSpPr>
        <xdr:cNvPr id="24" name="TextBox 23">
          <a:extLst>
            <a:ext uri="{FF2B5EF4-FFF2-40B4-BE49-F238E27FC236}">
              <a16:creationId xmlns:a16="http://schemas.microsoft.com/office/drawing/2014/main" id="{51FF6A9A-2973-4B6A-990F-FE379AD4C294}"/>
            </a:ext>
          </a:extLst>
        </xdr:cNvPr>
        <xdr:cNvSpPr txBox="1"/>
      </xdr:nvSpPr>
      <xdr:spPr>
        <a:xfrm>
          <a:off x="2026022" y="918882"/>
          <a:ext cx="972672" cy="19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Average</a:t>
          </a:r>
          <a:r>
            <a:rPr lang="en-IN" sz="800" baseline="0"/>
            <a:t> Wait Time</a:t>
          </a:r>
          <a:endParaRPr lang="en-IN" sz="800"/>
        </a:p>
      </xdr:txBody>
    </xdr:sp>
    <xdr:clientData/>
  </xdr:twoCellAnchor>
  <xdr:twoCellAnchor editAs="absolute">
    <xdr:from>
      <xdr:col>3</xdr:col>
      <xdr:colOff>210670</xdr:colOff>
      <xdr:row>4</xdr:row>
      <xdr:rowOff>13448</xdr:rowOff>
    </xdr:from>
    <xdr:to>
      <xdr:col>4</xdr:col>
      <xdr:colOff>502024</xdr:colOff>
      <xdr:row>5</xdr:row>
      <xdr:rowOff>26895</xdr:rowOff>
    </xdr:to>
    <xdr:sp macro="" textlink="'Pivot Report'!A9">
      <xdr:nvSpPr>
        <xdr:cNvPr id="25" name="TextBox 24">
          <a:extLst>
            <a:ext uri="{FF2B5EF4-FFF2-40B4-BE49-F238E27FC236}">
              <a16:creationId xmlns:a16="http://schemas.microsoft.com/office/drawing/2014/main" id="{3F275CD9-BDE3-429D-B0C5-C9DB46D93046}"/>
            </a:ext>
          </a:extLst>
        </xdr:cNvPr>
        <xdr:cNvSpPr txBox="1"/>
      </xdr:nvSpPr>
      <xdr:spPr>
        <a:xfrm>
          <a:off x="2039470" y="748554"/>
          <a:ext cx="900954" cy="19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1499248-6463-4C58-B9A4-5F92013F9C1F}" type="TxLink">
            <a:rPr lang="en-US" sz="1100" b="0" i="0" u="none" strike="noStrike">
              <a:solidFill>
                <a:srgbClr val="000000"/>
              </a:solidFill>
              <a:latin typeface="Calibri"/>
              <a:ea typeface="Calibri"/>
              <a:cs typeface="Calibri"/>
            </a:rPr>
            <a:pPr algn="ctr"/>
            <a:t>35.51</a:t>
          </a:fld>
          <a:endParaRPr lang="en-IN" sz="900"/>
        </a:p>
      </xdr:txBody>
    </xdr:sp>
    <xdr:clientData/>
  </xdr:twoCellAnchor>
  <xdr:twoCellAnchor editAs="absolute">
    <xdr:from>
      <xdr:col>5</xdr:col>
      <xdr:colOff>138952</xdr:colOff>
      <xdr:row>5</xdr:row>
      <xdr:rowOff>17930</xdr:rowOff>
    </xdr:from>
    <xdr:to>
      <xdr:col>7</xdr:col>
      <xdr:colOff>98611</xdr:colOff>
      <xdr:row>6</xdr:row>
      <xdr:rowOff>89647</xdr:rowOff>
    </xdr:to>
    <xdr:sp macro="" textlink="">
      <xdr:nvSpPr>
        <xdr:cNvPr id="26" name="TextBox 25">
          <a:extLst>
            <a:ext uri="{FF2B5EF4-FFF2-40B4-BE49-F238E27FC236}">
              <a16:creationId xmlns:a16="http://schemas.microsoft.com/office/drawing/2014/main" id="{6DF04E42-127A-47BE-8462-A3494A595F29}"/>
            </a:ext>
          </a:extLst>
        </xdr:cNvPr>
        <xdr:cNvSpPr txBox="1"/>
      </xdr:nvSpPr>
      <xdr:spPr>
        <a:xfrm>
          <a:off x="3186952" y="936812"/>
          <a:ext cx="1178859" cy="255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aseline="0"/>
            <a:t>Patient Satisfaction Score</a:t>
          </a:r>
          <a:endParaRPr lang="en-IN" sz="800"/>
        </a:p>
      </xdr:txBody>
    </xdr:sp>
    <xdr:clientData/>
  </xdr:twoCellAnchor>
  <xdr:twoCellAnchor editAs="absolute">
    <xdr:from>
      <xdr:col>5</xdr:col>
      <xdr:colOff>264457</xdr:colOff>
      <xdr:row>4</xdr:row>
      <xdr:rowOff>17931</xdr:rowOff>
    </xdr:from>
    <xdr:to>
      <xdr:col>6</xdr:col>
      <xdr:colOff>555811</xdr:colOff>
      <xdr:row>5</xdr:row>
      <xdr:rowOff>31378</xdr:rowOff>
    </xdr:to>
    <xdr:sp macro="" textlink="'Pivot Report'!A13">
      <xdr:nvSpPr>
        <xdr:cNvPr id="27" name="TextBox 26">
          <a:extLst>
            <a:ext uri="{FF2B5EF4-FFF2-40B4-BE49-F238E27FC236}">
              <a16:creationId xmlns:a16="http://schemas.microsoft.com/office/drawing/2014/main" id="{CB8D814F-D12B-4183-B77B-C100948A13F7}"/>
            </a:ext>
          </a:extLst>
        </xdr:cNvPr>
        <xdr:cNvSpPr txBox="1"/>
      </xdr:nvSpPr>
      <xdr:spPr>
        <a:xfrm>
          <a:off x="3312457" y="753037"/>
          <a:ext cx="900954" cy="19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EAA3A04-3CF2-41A0-8236-AB8FD5EC3EC4}" type="TxLink">
            <a:rPr lang="en-US" sz="1100" b="0" i="0" u="none" strike="noStrike">
              <a:solidFill>
                <a:srgbClr val="000000"/>
              </a:solidFill>
              <a:latin typeface="Calibri"/>
              <a:ea typeface="Calibri"/>
              <a:cs typeface="Calibri"/>
            </a:rPr>
            <a:pPr algn="ctr"/>
            <a:t>4.71</a:t>
          </a:fld>
          <a:endParaRPr lang="en-IN" sz="900"/>
        </a:p>
      </xdr:txBody>
    </xdr:sp>
    <xdr:clientData/>
  </xdr:twoCellAnchor>
  <xdr:twoCellAnchor editAs="oneCell">
    <xdr:from>
      <xdr:col>2</xdr:col>
      <xdr:colOff>327213</xdr:colOff>
      <xdr:row>3</xdr:row>
      <xdr:rowOff>116542</xdr:rowOff>
    </xdr:from>
    <xdr:to>
      <xdr:col>3</xdr:col>
      <xdr:colOff>67236</xdr:colOff>
      <xdr:row>5</xdr:row>
      <xdr:rowOff>44825</xdr:rowOff>
    </xdr:to>
    <xdr:pic>
      <xdr:nvPicPr>
        <xdr:cNvPr id="29" name="Graphic 28" descr="User with solid fill">
          <a:extLst>
            <a:ext uri="{FF2B5EF4-FFF2-40B4-BE49-F238E27FC236}">
              <a16:creationId xmlns:a16="http://schemas.microsoft.com/office/drawing/2014/main" id="{382605DB-8804-4243-8430-9E26124573B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546413" y="667871"/>
          <a:ext cx="349623" cy="295836"/>
        </a:xfrm>
        <a:prstGeom prst="rect">
          <a:avLst/>
        </a:prstGeom>
      </xdr:spPr>
    </xdr:pic>
    <xdr:clientData/>
  </xdr:twoCellAnchor>
  <xdr:twoCellAnchor editAs="oneCell">
    <xdr:from>
      <xdr:col>6</xdr:col>
      <xdr:colOff>381000</xdr:colOff>
      <xdr:row>3</xdr:row>
      <xdr:rowOff>138954</xdr:rowOff>
    </xdr:from>
    <xdr:to>
      <xdr:col>7</xdr:col>
      <xdr:colOff>107577</xdr:colOff>
      <xdr:row>5</xdr:row>
      <xdr:rowOff>18686</xdr:rowOff>
    </xdr:to>
    <xdr:pic>
      <xdr:nvPicPr>
        <xdr:cNvPr id="31" name="Graphic 30" descr="Customer review with solid fill">
          <a:extLst>
            <a:ext uri="{FF2B5EF4-FFF2-40B4-BE49-F238E27FC236}">
              <a16:creationId xmlns:a16="http://schemas.microsoft.com/office/drawing/2014/main" id="{B4BE95CA-5EEB-4052-BEF5-7D1EA2AD68D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038600" y="690283"/>
          <a:ext cx="336177" cy="247285"/>
        </a:xfrm>
        <a:prstGeom prst="rect">
          <a:avLst/>
        </a:prstGeom>
      </xdr:spPr>
    </xdr:pic>
    <xdr:clientData/>
  </xdr:twoCellAnchor>
  <xdr:twoCellAnchor editAs="oneCell">
    <xdr:from>
      <xdr:col>4</xdr:col>
      <xdr:colOff>416858</xdr:colOff>
      <xdr:row>3</xdr:row>
      <xdr:rowOff>152400</xdr:rowOff>
    </xdr:from>
    <xdr:to>
      <xdr:col>5</xdr:col>
      <xdr:colOff>71717</xdr:colOff>
      <xdr:row>5</xdr:row>
      <xdr:rowOff>26895</xdr:rowOff>
    </xdr:to>
    <xdr:pic>
      <xdr:nvPicPr>
        <xdr:cNvPr id="33" name="Graphic 32" descr="Hourglass Finished with solid fill">
          <a:extLst>
            <a:ext uri="{FF2B5EF4-FFF2-40B4-BE49-F238E27FC236}">
              <a16:creationId xmlns:a16="http://schemas.microsoft.com/office/drawing/2014/main" id="{64262A06-05E1-4BA3-88A4-88C0B12DB29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855258" y="703729"/>
          <a:ext cx="264459" cy="242048"/>
        </a:xfrm>
        <a:prstGeom prst="rect">
          <a:avLst/>
        </a:prstGeom>
      </xdr:spPr>
    </xdr:pic>
    <xdr:clientData/>
  </xdr:twoCellAnchor>
  <xdr:twoCellAnchor editAs="oneCell">
    <xdr:from>
      <xdr:col>0</xdr:col>
      <xdr:colOff>85165</xdr:colOff>
      <xdr:row>3</xdr:row>
      <xdr:rowOff>152400</xdr:rowOff>
    </xdr:from>
    <xdr:to>
      <xdr:col>1</xdr:col>
      <xdr:colOff>7015</xdr:colOff>
      <xdr:row>16</xdr:row>
      <xdr:rowOff>71717</xdr:rowOff>
    </xdr:to>
    <mc:AlternateContent xmlns:mc="http://schemas.openxmlformats.org/markup-compatibility/2006" xmlns:a14="http://schemas.microsoft.com/office/drawing/2010/main">
      <mc:Choice Requires="a14">
        <xdr:graphicFrame macro="">
          <xdr:nvGraphicFramePr>
            <xdr:cNvPr id="34" name="Date (Month)">
              <a:extLst>
                <a:ext uri="{FF2B5EF4-FFF2-40B4-BE49-F238E27FC236}">
                  <a16:creationId xmlns:a16="http://schemas.microsoft.com/office/drawing/2014/main" id="{28D2B42B-405F-420B-9963-3A571F5146E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5165" y="703729"/>
              <a:ext cx="531450" cy="23084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569260</xdr:colOff>
      <xdr:row>5</xdr:row>
      <xdr:rowOff>107576</xdr:rowOff>
    </xdr:from>
    <xdr:to>
      <xdr:col>3</xdr:col>
      <xdr:colOff>179294</xdr:colOff>
      <xdr:row>7</xdr:row>
      <xdr:rowOff>174812</xdr:rowOff>
    </xdr:to>
    <xdr:graphicFrame macro="">
      <xdr:nvGraphicFramePr>
        <xdr:cNvPr id="35" name="Chart 34">
          <a:extLst>
            <a:ext uri="{FF2B5EF4-FFF2-40B4-BE49-F238E27FC236}">
              <a16:creationId xmlns:a16="http://schemas.microsoft.com/office/drawing/2014/main" id="{3DAF61A3-4B5C-47AD-AA69-393B7F843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112059</xdr:colOff>
      <xdr:row>5</xdr:row>
      <xdr:rowOff>165847</xdr:rowOff>
    </xdr:from>
    <xdr:to>
      <xdr:col>5</xdr:col>
      <xdr:colOff>85165</xdr:colOff>
      <xdr:row>7</xdr:row>
      <xdr:rowOff>67236</xdr:rowOff>
    </xdr:to>
    <xdr:graphicFrame macro="">
      <xdr:nvGraphicFramePr>
        <xdr:cNvPr id="36" name="Chart 35">
          <a:extLst>
            <a:ext uri="{FF2B5EF4-FFF2-40B4-BE49-F238E27FC236}">
              <a16:creationId xmlns:a16="http://schemas.microsoft.com/office/drawing/2014/main" id="{C321C945-657F-4D2E-BA88-749FE1213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125505</xdr:colOff>
      <xdr:row>5</xdr:row>
      <xdr:rowOff>112059</xdr:rowOff>
    </xdr:from>
    <xdr:to>
      <xdr:col>7</xdr:col>
      <xdr:colOff>112058</xdr:colOff>
      <xdr:row>7</xdr:row>
      <xdr:rowOff>40340</xdr:rowOff>
    </xdr:to>
    <xdr:graphicFrame macro="">
      <xdr:nvGraphicFramePr>
        <xdr:cNvPr id="37" name="Chart 36">
          <a:extLst>
            <a:ext uri="{FF2B5EF4-FFF2-40B4-BE49-F238E27FC236}">
              <a16:creationId xmlns:a16="http://schemas.microsoft.com/office/drawing/2014/main" id="{AFD6EB86-E96C-41D4-870C-B63273C55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62752</xdr:colOff>
          <xdr:row>7</xdr:row>
          <xdr:rowOff>85164</xdr:rowOff>
        </xdr:from>
        <xdr:to>
          <xdr:col>7</xdr:col>
          <xdr:colOff>80682</xdr:colOff>
          <xdr:row>10</xdr:row>
          <xdr:rowOff>22411</xdr:rowOff>
        </xdr:to>
        <xdr:pic>
          <xdr:nvPicPr>
            <xdr:cNvPr id="42" name="Picture 41">
              <a:extLst>
                <a:ext uri="{FF2B5EF4-FFF2-40B4-BE49-F238E27FC236}">
                  <a16:creationId xmlns:a16="http://schemas.microsoft.com/office/drawing/2014/main" id="{BC7F8FDD-0921-4A4A-98CB-34DBFEDCFC15}"/>
                </a:ext>
              </a:extLst>
            </xdr:cNvPr>
            <xdr:cNvPicPr>
              <a:picLocks noChangeAspect="1" noChangeArrowheads="1"/>
              <a:extLst>
                <a:ext uri="{84589F7E-364E-4C9E-8A38-B11213B215E9}">
                  <a14:cameraTool cellRange="'Pivot Report'!$A$46:$D$48" spid="_x0000_s3087"/>
                </a:ext>
              </a:extLst>
            </xdr:cNvPicPr>
          </xdr:nvPicPr>
          <xdr:blipFill>
            <a:blip xmlns:r="http://schemas.openxmlformats.org/officeDocument/2006/relationships" r:embed="rId12"/>
            <a:srcRect/>
            <a:stretch>
              <a:fillRect/>
            </a:stretch>
          </xdr:blipFill>
          <xdr:spPr bwMode="auto">
            <a:xfrm>
              <a:off x="672352" y="1371599"/>
              <a:ext cx="3675530" cy="48857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94129</xdr:colOff>
      <xdr:row>10</xdr:row>
      <xdr:rowOff>98613</xdr:rowOff>
    </xdr:from>
    <xdr:to>
      <xdr:col>7</xdr:col>
      <xdr:colOff>80682</xdr:colOff>
      <xdr:row>16</xdr:row>
      <xdr:rowOff>98612</xdr:rowOff>
    </xdr:to>
    <xdr:graphicFrame macro="">
      <xdr:nvGraphicFramePr>
        <xdr:cNvPr id="32" name="Chart 31">
          <a:extLst>
            <a:ext uri="{FF2B5EF4-FFF2-40B4-BE49-F238E27FC236}">
              <a16:creationId xmlns:a16="http://schemas.microsoft.com/office/drawing/2014/main" id="{4B705CD1-5DF0-4ED5-8188-22CBCAC10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3</xdr:col>
      <xdr:colOff>4482</xdr:colOff>
      <xdr:row>15</xdr:row>
      <xdr:rowOff>179295</xdr:rowOff>
    </xdr:from>
    <xdr:to>
      <xdr:col>5</xdr:col>
      <xdr:colOff>62753</xdr:colOff>
      <xdr:row>16</xdr:row>
      <xdr:rowOff>94130</xdr:rowOff>
    </xdr:to>
    <xdr:sp macro="" textlink="">
      <xdr:nvSpPr>
        <xdr:cNvPr id="38" name="TextBox 37">
          <a:extLst>
            <a:ext uri="{FF2B5EF4-FFF2-40B4-BE49-F238E27FC236}">
              <a16:creationId xmlns:a16="http://schemas.microsoft.com/office/drawing/2014/main" id="{0A5A4A3B-8B34-4F42-A998-EEA7093EA4EC}"/>
            </a:ext>
          </a:extLst>
        </xdr:cNvPr>
        <xdr:cNvSpPr txBox="1"/>
      </xdr:nvSpPr>
      <xdr:spPr>
        <a:xfrm>
          <a:off x="1833282" y="2935942"/>
          <a:ext cx="1277471" cy="98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500"/>
            <a:t>No.</a:t>
          </a:r>
          <a:r>
            <a:rPr lang="en-IN" sz="500" baseline="0"/>
            <a:t> of Patient by Age Group</a:t>
          </a:r>
          <a:endParaRPr lang="en-IN" sz="500"/>
        </a:p>
      </xdr:txBody>
    </xdr:sp>
    <xdr:clientData/>
  </xdr:twoCellAnchor>
  <xdr:twoCellAnchor>
    <xdr:from>
      <xdr:col>7</xdr:col>
      <xdr:colOff>125507</xdr:colOff>
      <xdr:row>0</xdr:row>
      <xdr:rowOff>94130</xdr:rowOff>
    </xdr:from>
    <xdr:to>
      <xdr:col>9</xdr:col>
      <xdr:colOff>183777</xdr:colOff>
      <xdr:row>6</xdr:row>
      <xdr:rowOff>62754</xdr:rowOff>
    </xdr:to>
    <xdr:graphicFrame macro="">
      <xdr:nvGraphicFramePr>
        <xdr:cNvPr id="39" name="Chart 38">
          <a:extLst>
            <a:ext uri="{FF2B5EF4-FFF2-40B4-BE49-F238E27FC236}">
              <a16:creationId xmlns:a16="http://schemas.microsoft.com/office/drawing/2014/main" id="{9897F6D7-B692-426D-9882-250880E26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7</xdr:col>
      <xdr:colOff>372035</xdr:colOff>
      <xdr:row>6</xdr:row>
      <xdr:rowOff>44822</xdr:rowOff>
    </xdr:from>
    <xdr:to>
      <xdr:col>9</xdr:col>
      <xdr:colOff>116541</xdr:colOff>
      <xdr:row>6</xdr:row>
      <xdr:rowOff>170329</xdr:rowOff>
    </xdr:to>
    <xdr:sp macro="" textlink="">
      <xdr:nvSpPr>
        <xdr:cNvPr id="40" name="TextBox 39">
          <a:extLst>
            <a:ext uri="{FF2B5EF4-FFF2-40B4-BE49-F238E27FC236}">
              <a16:creationId xmlns:a16="http://schemas.microsoft.com/office/drawing/2014/main" id="{1214D8C4-1756-4EAF-B7D1-25C0677A2EB4}"/>
            </a:ext>
          </a:extLst>
        </xdr:cNvPr>
        <xdr:cNvSpPr txBox="1"/>
      </xdr:nvSpPr>
      <xdr:spPr>
        <a:xfrm>
          <a:off x="4639235" y="1147481"/>
          <a:ext cx="963706" cy="125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Patient</a:t>
          </a:r>
          <a:r>
            <a:rPr lang="en-IN" sz="800" baseline="0"/>
            <a:t> Attend Status</a:t>
          </a:r>
          <a:endParaRPr lang="en-IN" sz="800"/>
        </a:p>
      </xdr:txBody>
    </xdr:sp>
    <xdr:clientData/>
  </xdr:twoCellAnchor>
  <xdr:twoCellAnchor>
    <xdr:from>
      <xdr:col>9</xdr:col>
      <xdr:colOff>322730</xdr:colOff>
      <xdr:row>0</xdr:row>
      <xdr:rowOff>98612</xdr:rowOff>
    </xdr:from>
    <xdr:to>
      <xdr:col>11</xdr:col>
      <xdr:colOff>304800</xdr:colOff>
      <xdr:row>6</xdr:row>
      <xdr:rowOff>156882</xdr:rowOff>
    </xdr:to>
    <xdr:graphicFrame macro="">
      <xdr:nvGraphicFramePr>
        <xdr:cNvPr id="41" name="Chart 40">
          <a:extLst>
            <a:ext uri="{FF2B5EF4-FFF2-40B4-BE49-F238E27FC236}">
              <a16:creationId xmlns:a16="http://schemas.microsoft.com/office/drawing/2014/main" id="{32D1BCD2-AB58-4E6C-810A-76CC874EA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9</xdr:col>
      <xdr:colOff>394446</xdr:colOff>
      <xdr:row>6</xdr:row>
      <xdr:rowOff>80681</xdr:rowOff>
    </xdr:from>
    <xdr:to>
      <xdr:col>11</xdr:col>
      <xdr:colOff>138952</xdr:colOff>
      <xdr:row>7</xdr:row>
      <xdr:rowOff>22412</xdr:rowOff>
    </xdr:to>
    <xdr:sp macro="" textlink="">
      <xdr:nvSpPr>
        <xdr:cNvPr id="43" name="TextBox 42">
          <a:extLst>
            <a:ext uri="{FF2B5EF4-FFF2-40B4-BE49-F238E27FC236}">
              <a16:creationId xmlns:a16="http://schemas.microsoft.com/office/drawing/2014/main" id="{8FC36FF1-B906-4467-B270-91B10D1DA4FF}"/>
            </a:ext>
          </a:extLst>
        </xdr:cNvPr>
        <xdr:cNvSpPr txBox="1"/>
      </xdr:nvSpPr>
      <xdr:spPr>
        <a:xfrm>
          <a:off x="5880846" y="1183340"/>
          <a:ext cx="963706" cy="125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Gender</a:t>
          </a:r>
          <a:r>
            <a:rPr lang="en-IN" sz="800" baseline="0"/>
            <a:t> wise analysis</a:t>
          </a:r>
          <a:endParaRPr lang="en-IN" sz="800"/>
        </a:p>
      </xdr:txBody>
    </xdr:sp>
    <xdr:clientData/>
  </xdr:twoCellAnchor>
  <xdr:twoCellAnchor>
    <xdr:from>
      <xdr:col>7</xdr:col>
      <xdr:colOff>242047</xdr:colOff>
      <xdr:row>7</xdr:row>
      <xdr:rowOff>80682</xdr:rowOff>
    </xdr:from>
    <xdr:to>
      <xdr:col>11</xdr:col>
      <xdr:colOff>268940</xdr:colOff>
      <xdr:row>16</xdr:row>
      <xdr:rowOff>49305</xdr:rowOff>
    </xdr:to>
    <xdr:graphicFrame macro="">
      <xdr:nvGraphicFramePr>
        <xdr:cNvPr id="44" name="Chart 43">
          <a:extLst>
            <a:ext uri="{FF2B5EF4-FFF2-40B4-BE49-F238E27FC236}">
              <a16:creationId xmlns:a16="http://schemas.microsoft.com/office/drawing/2014/main" id="{90E6818E-4915-46DC-963A-B860B185A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8</xdr:col>
      <xdr:colOff>188257</xdr:colOff>
      <xdr:row>15</xdr:row>
      <xdr:rowOff>134469</xdr:rowOff>
    </xdr:from>
    <xdr:to>
      <xdr:col>11</xdr:col>
      <xdr:colOff>35858</xdr:colOff>
      <xdr:row>16</xdr:row>
      <xdr:rowOff>62752</xdr:rowOff>
    </xdr:to>
    <xdr:sp macro="" textlink="">
      <xdr:nvSpPr>
        <xdr:cNvPr id="45" name="TextBox 44">
          <a:extLst>
            <a:ext uri="{FF2B5EF4-FFF2-40B4-BE49-F238E27FC236}">
              <a16:creationId xmlns:a16="http://schemas.microsoft.com/office/drawing/2014/main" id="{02FBE9DE-8779-4731-9D71-C94A9361052D}"/>
            </a:ext>
          </a:extLst>
        </xdr:cNvPr>
        <xdr:cNvSpPr txBox="1"/>
      </xdr:nvSpPr>
      <xdr:spPr>
        <a:xfrm>
          <a:off x="5065057" y="2891116"/>
          <a:ext cx="1676401" cy="112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600"/>
            <a:t>No.</a:t>
          </a:r>
          <a:r>
            <a:rPr lang="en-IN" sz="600" baseline="0"/>
            <a:t> of Patient by department Referral</a:t>
          </a:r>
          <a:endParaRPr lang="en-IN" sz="600"/>
        </a:p>
      </xdr:txBody>
    </xdr:sp>
    <xdr:clientData/>
  </xdr:twoCellAnchor>
  <xdr:twoCellAnchor editAs="oneCell">
    <xdr:from>
      <xdr:col>5</xdr:col>
      <xdr:colOff>430307</xdr:colOff>
      <xdr:row>0</xdr:row>
      <xdr:rowOff>116541</xdr:rowOff>
    </xdr:from>
    <xdr:to>
      <xdr:col>7</xdr:col>
      <xdr:colOff>107576</xdr:colOff>
      <xdr:row>3</xdr:row>
      <xdr:rowOff>22412</xdr:rowOff>
    </xdr:to>
    <mc:AlternateContent xmlns:mc="http://schemas.openxmlformats.org/markup-compatibility/2006" xmlns:a14="http://schemas.microsoft.com/office/drawing/2010/main">
      <mc:Choice Requires="a14">
        <xdr:graphicFrame macro="">
          <xdr:nvGraphicFramePr>
            <xdr:cNvPr id="46" name="Date (Year)">
              <a:extLst>
                <a:ext uri="{FF2B5EF4-FFF2-40B4-BE49-F238E27FC236}">
                  <a16:creationId xmlns:a16="http://schemas.microsoft.com/office/drawing/2014/main" id="{E2C2462F-FE70-40BF-BF2B-99C3051925E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478307" y="116541"/>
              <a:ext cx="896469" cy="45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17</xdr:row>
      <xdr:rowOff>183776</xdr:rowOff>
    </xdr:from>
    <xdr:to>
      <xdr:col>35</xdr:col>
      <xdr:colOff>1268</xdr:colOff>
      <xdr:row>60</xdr:row>
      <xdr:rowOff>54462</xdr:rowOff>
    </xdr:to>
    <xdr:pic>
      <xdr:nvPicPr>
        <xdr:cNvPr id="11" name="Picture 10">
          <a:extLst>
            <a:ext uri="{FF2B5EF4-FFF2-40B4-BE49-F238E27FC236}">
              <a16:creationId xmlns:a16="http://schemas.microsoft.com/office/drawing/2014/main" id="{01019DFC-20BB-4755-93DD-CF8DDE228526}"/>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6705600" y="3307976"/>
          <a:ext cx="14631668" cy="777307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7.659147337959" createdVersion="5" refreshedVersion="7" minRefreshableVersion="3" recordCount="0" supportSubquery="1" supportAdvancedDrill="1" xr:uid="{518B2DFA-9800-4FBB-8744-B1F3FC4BB96F}">
  <cacheSource type="external" connectionId="3"/>
  <cacheFields count="4">
    <cacheField name="[Measures].[Distinct Count of Patient Id]" caption="Distinct Count of Patient Id" numFmtId="0" hierarchy="24" level="32767"/>
    <cacheField name="[Calender 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1"/>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7.659147453705" createdVersion="5" refreshedVersion="7" minRefreshableVersion="3" recordCount="0" supportSubquery="1" supportAdvancedDrill="1" xr:uid="{58F61130-F70A-4BC0-A21F-E795B9F043B2}">
  <cacheSource type="external" connectionId="3"/>
  <cacheFields count="3">
    <cacheField name="[Measures].[Distinct Count of Patient Id]" caption="Distinct Count of Patient Id" numFmtId="0" hierarchy="24"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7.659147685183" createdVersion="5" refreshedVersion="7" minRefreshableVersion="3" recordCount="0" supportSubquery="1" supportAdvancedDrill="1" xr:uid="{1D3A514D-5415-454F-AE7C-AC645A0582CF}">
  <cacheSource type="external" connectionId="3"/>
  <cacheFields count="3">
    <cacheField name="[Measures].[Average of Patient Waittime]" caption="Average of Patient Waittime" numFmtId="0" hierarchy="26"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7.659147916667" createdVersion="5" refreshedVersion="7" minRefreshableVersion="3" recordCount="0" supportSubquery="1" supportAdvancedDrill="1" xr:uid="{A23FFA8B-241F-4FAF-9C41-7CAACE710273}">
  <cacheSource type="external" connectionId="3"/>
  <cacheFields count="3">
    <cacheField name="[Measures].[Average of Patient Satisfaction Score]" caption="Average of Patient Satisfaction Score" numFmtId="0" hierarchy="28"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7.659148263891" createdVersion="5" refreshedVersion="7" minRefreshableVersion="3" recordCount="0" supportSubquery="1" supportAdvancedDrill="1" xr:uid="{98A039CE-D40F-4A32-ACC2-777707C71F38}">
  <cacheSource type="external" connectionId="3"/>
  <cacheFields count="4">
    <cacheField name="[Calender 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 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7.659148726852" createdVersion="5" refreshedVersion="7" minRefreshableVersion="3" recordCount="0" supportSubquery="1" supportAdvancedDrill="1" xr:uid="{2B93271A-C82C-4B41-A061-C1C35E3D6521}">
  <cacheSource type="external" connectionId="3"/>
  <cacheFields count="4">
    <cacheField name="[Calender 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7.659149305553" createdVersion="5" refreshedVersion="7" minRefreshableVersion="3" recordCount="0" supportSubquery="1" supportAdvancedDrill="1" xr:uid="{DEA52728-4596-4290-AD30-FE3F24110FCF}">
  <cacheSource type="external" connectionId="3"/>
  <cacheFields count="5">
    <cacheField name="[Calender 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 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7.659149652776" createdVersion="5" refreshedVersion="7" minRefreshableVersion="3" recordCount="0" supportSubquery="1" supportAdvancedDrill="1" xr:uid="{3C33444D-C85C-4D0B-A9E8-FA80EF4B99C8}">
  <cacheSource type="external" connectionId="3"/>
  <cacheFields count="4">
    <cacheField name="[Calender Table].[Date (Month)].[Date (Month)]" caption="Date (Month)" numFmtId="0" hierarchy="1" level="1">
      <sharedItems containsSemiMixedTypes="0" containsNonDate="0" containsString="0"/>
    </cacheField>
    <cacheField name="[Measures].[Count of Age Group]" caption="Count of Age Group" numFmtId="0" hierarchy="30" level="32767"/>
    <cacheField name="[Hospital Emergency Room Data].[Age Group].[Age Group]" caption="Age Group" numFmtId="0" hierarchy="16" level="1">
      <sharedItems count="8">
        <s v="0-9"/>
        <s v="10-19"/>
        <s v="20-29"/>
        <s v="30-39"/>
        <s v="40-49"/>
        <s v="50-59"/>
        <s v="60-69"/>
        <s v="70-79"/>
      </sharedItems>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7.659150115738" createdVersion="5" refreshedVersion="7" minRefreshableVersion="3" recordCount="0" supportSubquery="1" supportAdvancedDrill="1" xr:uid="{6FB731C5-1116-4711-8A14-1D119F56DAB4}">
  <cacheSource type="external" connectionId="3"/>
  <cacheFields count="4">
    <cacheField name="[Calender 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ed"/>
        <s v="Ontime"/>
      </sharedItems>
    </cacheField>
    <cacheField name="[Measures].[Count of Patient Attend Status]" caption="Count of Patient Attend Status" numFmtId="0" hierarchy="31"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7.659150462961" createdVersion="5" refreshedVersion="7" minRefreshableVersion="3" recordCount="0" supportSubquery="1" supportAdvancedDrill="1" xr:uid="{DB324322-25D8-4D1D-A850-C770B2559967}">
  <cacheSource type="external" connectionId="3"/>
  <cacheFields count="4">
    <cacheField name="[Calender 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7.659150810185" createdVersion="5" refreshedVersion="7" minRefreshableVersion="3" recordCount="0" supportSubquery="1" supportAdvancedDrill="1" xr:uid="{BBC05ED5-C054-47F2-B7BA-78D691703D09}">
  <cacheSource type="external" connectionId="3"/>
  <cacheFields count="4">
    <cacheField name="[Calender 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7.659151157408" createdVersion="5" refreshedVersion="7" minRefreshableVersion="3" recordCount="0" supportSubquery="1" supportAdvancedDrill="1" xr:uid="{C729D346-37F8-40A1-B635-D66621487BC9}">
  <cacheSource type="external" connectionId="3"/>
  <cacheFields count="4">
    <cacheField name="[Calender Table].[Date (Month)].[Date (Month)]" caption="Date (Month)" numFmtId="0" hierarchy="1" level="1">
      <sharedItems containsNonDate="0" count="1">
        <s v="Jan"/>
      </sharedItems>
    </cacheField>
    <cacheField name="[Calender 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 Table].[Date (Quarter)].[Date (Quarter)]" caption="Date (Quarter)" numFmtId="0" hierarchy="4" level="1">
      <sharedItems containsNonDate="0" count="1">
        <s v="Qtr1"/>
      </sharedItems>
    </cacheField>
    <cacheField name="[Calender Table].[Date (Year)].[Date (Year)]" caption="Date (Year)" numFmtId="0" hierarchy="3" level="1">
      <sharedItems count="1">
        <s v="2024"/>
      </sharedItems>
    </cacheField>
  </cacheFields>
  <cacheHierarchies count="34">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1"/>
      </fieldsUsage>
    </cacheHierarchy>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C" refreshedDate="46116.621854861114" createdVersion="3" refreshedVersion="7" minRefreshableVersion="3" recordCount="0" supportSubquery="1" supportAdvancedDrill="1" xr:uid="{DD0C7416-E83A-4F38-973C-BFC74CEA3CC9}">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584634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EF309A-EB5A-4D93-A83C-CD52B2EC4864}" name="PivotTable11" cacheId="10" applyNumberFormats="0" applyBorderFormats="0" applyFontFormats="0" applyPatternFormats="0" applyAlignmentFormats="0" applyWidthHeightFormats="1" dataCaption="Values" tag="3262c97a-0fae-4289-ae41-b6ecef7695d3" updatedVersion="7" minRefreshableVersion="3" itemPrintTitles="1" createdVersion="5" indent="0" outline="1" outlineData="1" multipleFieldFilters="0" chartFormat="17">
  <location ref="H52:I6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6"/>
    </i>
    <i>
      <x v="3"/>
    </i>
    <i>
      <x v="1"/>
    </i>
    <i>
      <x/>
    </i>
    <i>
      <x v="5"/>
    </i>
    <i>
      <x v="2"/>
    </i>
    <i>
      <x v="4"/>
    </i>
    <i t="grand">
      <x/>
    </i>
  </rowItems>
  <colItems count="1">
    <i/>
  </colItems>
  <dataFields count="1">
    <dataField name="Count of Department Referral" fld="2" subtotal="count" baseField="0" baseItem="0"/>
  </dataFields>
  <formats count="2">
    <format dxfId="1">
      <pivotArea outline="0" collapsedLevelsAreSubtotals="1" fieldPosition="0"/>
    </format>
    <format dxfId="0">
      <pivotArea collapsedLevelsAreSubtotals="1" fieldPosition="0">
        <references count="1">
          <reference field="1" count="0"/>
        </references>
      </pivotArea>
    </format>
  </formats>
  <chartFormats count="2">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u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F3B020-C259-41C1-8361-D0E389B36715}" name="PivotTable3" cacheId="3" applyNumberFormats="0" applyBorderFormats="0" applyFontFormats="0" applyPatternFormats="0" applyAlignmentFormats="0" applyWidthHeightFormats="1" dataCaption="Values" tag="d7c5bb01-6ff8-4644-bbfc-2eaa8f233ef2" updatedVersion="7" minRefreshableVersion="3"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
      <pivotArea outline="0" collapsedLevelsAreSubtotals="1" fieldPosition="0"/>
    </format>
  </formats>
  <pivotHierarchies count="34">
    <pivotHierarchy dragToData="1"/>
    <pivotHierarchy multipleItemSelectionAllowed="1" dragToData="1">
      <members count="1" level="1">
        <member name="[Calender Table].[Date (Month)].&amp;[Ju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6EC446-DB60-4AE0-BF3C-5F0876E35D30}" name="PivotTable10" cacheId="9" applyNumberFormats="0" applyBorderFormats="0" applyFontFormats="0" applyPatternFormats="0" applyAlignmentFormats="0" applyWidthHeightFormats="1" dataCaption="Values" tag="3262c97a-0fae-4289-ae41-b6ecef7695d3" updatedVersion="7" minRefreshableVersion="3" itemPrintTitles="1" createdVersion="5" indent="0" outline="1" outlineData="1" multipleFieldFilters="0" chartFormat="14">
  <location ref="E58:F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3">
    <format dxfId="5">
      <pivotArea outline="0" collapsedLevelsAreSubtotals="1" fieldPosition="0"/>
    </format>
    <format dxfId="4">
      <pivotArea collapsedLevelsAreSubtotals="1" fieldPosition="0">
        <references count="1">
          <reference field="1" count="1">
            <x v="0"/>
          </reference>
        </references>
      </pivotArea>
    </format>
    <format dxfId="3">
      <pivotArea collapsedLevelsAreSubtotals="1" fieldPosition="0">
        <references count="1">
          <reference field="1" count="1">
            <x v="1"/>
          </reference>
        </references>
      </pivotArea>
    </format>
  </format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 Table].[Date (Month)].&amp;[Ju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F3CFAC-85B6-4DBE-B242-EF8D06B9D293}" name="PivotTable7" cacheId="6" applyNumberFormats="0" applyBorderFormats="0" applyFontFormats="0" applyPatternFormats="0" applyAlignmentFormats="0" applyWidthHeightFormats="1" dataCaption="Values" tag="3262c97a-0fae-4289-ae41-b6ecef7695d3" updatedVersion="7" minRefreshableVersion="3" itemPrintTitles="1" createdVersion="5" indent="0" outline="1" outlineData="1" multipleFieldFilters="0" chartFormat="1">
  <location ref="A38:C4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9">
      <pivotArea outline="0" collapsedLevelsAreSubtotals="1" fieldPosition="0"/>
    </format>
    <format dxfId="8">
      <pivotArea collapsedLevelsAreSubtotals="1" fieldPosition="0">
        <references count="1">
          <reference field="2" count="1">
            <x v="0"/>
          </reference>
        </references>
      </pivotArea>
    </format>
    <format dxfId="7">
      <pivotArea collapsedLevelsAreSubtotals="1" fieldPosition="0">
        <references count="1">
          <reference field="2" count="1">
            <x v="1"/>
          </reference>
        </references>
      </pivotArea>
    </format>
    <format dxfId="6">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 Table].[Date (Month)].&amp;[Ju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118FA7-93A6-4517-B5FD-AE16394D1B46}" name="PivotTable8" cacheId="7" applyNumberFormats="0" applyBorderFormats="0" applyFontFormats="0" applyPatternFormats="0" applyAlignmentFormats="0" applyWidthHeightFormats="1" dataCaption="Values" tag="3262c97a-0fae-4289-ae41-b6ecef7695d3" updatedVersion="7" minRefreshableVersion="3" itemPrintTitles="1" createdVersion="5" indent="0" outline="1" outlineData="1" multipleFieldFilters="0" chartFormat="8">
  <location ref="A52:B6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2">
    <format dxfId="11">
      <pivotArea outline="0" collapsedLevelsAreSubtotals="1" fieldPosition="0"/>
    </format>
    <format dxfId="10">
      <pivotArea collapsedLevelsAreSubtotals="1" fieldPosition="0">
        <references count="1">
          <reference field="2" count="0"/>
        </references>
      </pivotArea>
    </format>
  </formats>
  <chartFormats count="1">
    <chartFormat chart="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u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BB6684-3DAD-4A99-8F84-92FFE77ACB03}" name="PivotTable1" cacheId="1" applyNumberFormats="0" applyBorderFormats="0" applyFontFormats="0" applyPatternFormats="0" applyAlignmentFormats="0" applyWidthHeightFormats="1" dataCaption="Values" tag="711f9fef-892d-44f1-a2c4-f4c9b0d2e6d5" updatedVersion="7"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 Table].[Date (Month)].&amp;[Ju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D78CB3-8202-4690-A0F4-F61CEB166304}" name="PivotTable4" cacheId="0" applyNumberFormats="0" applyBorderFormats="0" applyFontFormats="0" applyPatternFormats="0" applyAlignmentFormats="0" applyWidthHeightFormats="1" dataCaption="Values" tag="a3f0779f-289f-46e7-b496-962951d92a5d" updatedVersion="7" minRefreshableVersion="3" itemPrintTitles="1" createdVersion="5" indent="0" outline="1" outlineData="1" multipleFieldFilters="0" chartFormat="3">
  <location ref="C5:D36"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1">
    <chartFormat chart="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u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834165-F288-4411-9B17-C136FBC8F362}" name="PivotTable2" cacheId="2" applyNumberFormats="0" applyBorderFormats="0" applyFontFormats="0" applyPatternFormats="0" applyAlignmentFormats="0" applyWidthHeightFormats="1" dataCaption="Values" tag="6bb22c41-09e9-4bdf-b4ad-f766864eee4d" updatedVersion="7" minRefreshableVersion="3"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2">
      <pivotArea outline="0" collapsedLevelsAreSubtotals="1" fieldPosition="0"/>
    </format>
  </formats>
  <pivotHierarchies count="34">
    <pivotHierarchy dragToData="1"/>
    <pivotHierarchy multipleItemSelectionAllowed="1" dragToData="1">
      <members count="1" level="1">
        <member name="[Calender Table].[Date (Month)].&amp;[Ju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865DA2-E177-476D-86F1-D27C193807B0}" name="PivotTable12" cacheId="11" applyNumberFormats="0" applyBorderFormats="0" applyFontFormats="0" applyPatternFormats="0" applyAlignmentFormats="0" applyWidthHeightFormats="1" dataCaption="Values" tag="3262c97a-0fae-4289-ae41-b6ecef7695d3" updatedVersion="7" minRefreshableVersion="3" itemPrintTitles="1" createdVersion="5" indent="0" outline="1" outlineData="1" multipleFieldFilters="0" chartFormat="8">
  <location ref="A66:A68"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3">
      <pivotArea outline="0" collapsedLevelsAreSubtotals="1" fieldPosition="0"/>
    </format>
  </formats>
  <pivotHierarchies count="34">
    <pivotHierarchy dragToData="1"/>
    <pivotHierarchy multipleItemSelectionAllowed="1" dragToData="1">
      <members count="1" level="1">
        <member name="[Calender 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6F3240-1A3D-4805-80DC-79AE67D2AF82}" name="PivotTable9" cacheId="8" applyNumberFormats="0" applyBorderFormats="0" applyFontFormats="0" applyPatternFormats="0" applyAlignmentFormats="0" applyWidthHeightFormats="1" dataCaption="Values" tag="3262c97a-0fae-4289-ae41-b6ecef7695d3" updatedVersion="7" minRefreshableVersion="3" itemPrintTitles="1" createdVersion="5" indent="0" outline="1" outlineData="1" multipleFieldFilters="0" chartFormat="11">
  <location ref="E52:F5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15">
      <pivotArea outline="0" collapsedLevelsAreSubtotals="1" fieldPosition="0"/>
    </format>
    <format dxfId="14">
      <pivotArea collapsedLevelsAreSubtotals="1" fieldPosition="0">
        <references count="1">
          <reference field="1" count="0"/>
        </references>
      </pivotArea>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 Table].[Date (Month)].&amp;[Ju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8EA050C-5F72-4150-90A7-213EA9BB4043}" name="PivotTable6" cacheId="5" applyNumberFormats="0" applyBorderFormats="0" applyFontFormats="0" applyPatternFormats="0" applyAlignmentFormats="0" applyWidthHeightFormats="1" dataCaption="Values" tag="2b47d78e-bc87-4010-89d1-294e7accfbf8" updatedVersion="7" minRefreshableVersion="3" itemPrintTitles="1" createdVersion="5" indent="0" outline="1" outlineData="1" multipleFieldFilters="0" chartFormat="9">
  <location ref="K4:L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6">
      <pivotArea collapsedLevelsAreSubtotals="1" fieldPosition="0">
        <references count="1">
          <reference field="0" count="0"/>
        </references>
      </pivotArea>
    </format>
  </formats>
  <chartFormats count="2">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u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BF1E6FE-14A6-4728-BAD6-355CD82DBE09}" name="PivotTable5" cacheId="4" applyNumberFormats="0" applyBorderFormats="0" applyFontFormats="0" applyPatternFormats="0" applyAlignmentFormats="0" applyWidthHeightFormats="1" dataCaption="Values" tag="f64e5982-2d96-4fe9-89ce-add177c95777" updatedVersion="7" minRefreshableVersion="3" itemPrintTitles="1" createdVersion="5" indent="0" outline="1" outlineData="1" multipleFieldFilters="0" chartFormat="6">
  <location ref="H4:I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17">
      <pivotArea collapsedLevelsAreSubtotals="1" fieldPosition="0">
        <references count="1">
          <reference field="0" count="0"/>
        </references>
      </pivotArea>
    </format>
  </formats>
  <chartFormats count="1">
    <chartFormat chart="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u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957B7C6-877D-4238-8437-1BC58399CA43}" sourceName="[Calender 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2058463470">
      <levels count="2">
        <level uniqueName="[Calender Table].[Date (Month)].[(All)]" sourceCaption="(All)" count="0"/>
        <level uniqueName="[Calender Table].[Date (Month)].[Date (Month)]" sourceCaption="Date (Month)" count="12">
          <ranges>
            <range startItem="0">
              <i n="[Calender Table].[Date (Month)].&amp;[Jan]" c="Jan"/>
              <i n="[Calender Table].[Date (Month)].&amp;[Feb]" c="Feb"/>
              <i n="[Calender Table].[Date (Month)].&amp;[Mar]" c="Mar"/>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range>
          </ranges>
        </level>
      </levels>
      <selections count="1">
        <selection n="[Calender 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A204C64-EDF5-44F9-83C6-856C449E6B8F}" sourceName="[Calender 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058463470">
      <levels count="2">
        <level uniqueName="[Calender Table].[Date (Year)].[(All)]" sourceCaption="(All)" count="0"/>
        <level uniqueName="[Calender Table].[Date (Year)].[Date (Year)]" sourceCaption="Date (Year)" count="2">
          <ranges>
            <range startItem="0">
              <i n="[Calender Table].[Date (Year)].&amp;[2023]" c="2023"/>
              <i n="[Calender Table].[Date (Year)].&amp;[2024]" c="2024"/>
            </range>
          </ranges>
        </level>
      </levels>
      <selections count="1">
        <selection n="[Calende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AD1D5C7-88B0-4A35-9C45-B23617DEF11B}" cache="Slicer_Date__Month" caption="Date (Month)" showCaption="0" level="1" style="My Style" rowHeight="144000"/>
  <slicer name="Date (Year)" xr10:uid="{3BB2A551-8C19-481B-9B55-F6999612E465}" cache="Slicer_Date__Year" caption="Date (Year)" columnCount="2" showCaption="0" level="1" style="My Style"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F27F8-7590-4E36-AAE2-0AA0DBE5055F}">
  <dimension ref="A3:L68"/>
  <sheetViews>
    <sheetView topLeftCell="A55" workbookViewId="0">
      <selection activeCell="A67" sqref="A67"/>
    </sheetView>
  </sheetViews>
  <sheetFormatPr defaultRowHeight="14.4" x14ac:dyDescent="0.3"/>
  <cols>
    <col min="1" max="1" width="17.21875" customWidth="1"/>
    <col min="2" max="2" width="19.77734375" customWidth="1"/>
    <col min="3" max="3" width="17.109375" customWidth="1"/>
    <col min="4" max="4" width="20.109375" customWidth="1"/>
    <col min="5" max="5" width="13.5546875" bestFit="1" customWidth="1"/>
    <col min="6" max="6" width="27.109375" bestFit="1" customWidth="1"/>
    <col min="8" max="8" width="15.6640625" bestFit="1" customWidth="1"/>
    <col min="9" max="9" width="23.88671875" bestFit="1" customWidth="1"/>
    <col min="11" max="11" width="15.88671875" bestFit="1" customWidth="1"/>
    <col min="12" max="12" width="25" bestFit="1" customWidth="1"/>
  </cols>
  <sheetData>
    <row r="3" spans="1:12" x14ac:dyDescent="0.3">
      <c r="A3" t="s">
        <v>1</v>
      </c>
      <c r="H3" t="s">
        <v>9</v>
      </c>
      <c r="K3" t="s">
        <v>10</v>
      </c>
    </row>
    <row r="4" spans="1:12" x14ac:dyDescent="0.3">
      <c r="A4" t="s">
        <v>0</v>
      </c>
      <c r="C4" t="s">
        <v>8</v>
      </c>
      <c r="H4" s="2" t="s">
        <v>6</v>
      </c>
      <c r="I4" t="s">
        <v>2</v>
      </c>
      <c r="K4" s="2" t="s">
        <v>6</v>
      </c>
      <c r="L4" t="s">
        <v>5</v>
      </c>
    </row>
    <row r="5" spans="1:12" x14ac:dyDescent="0.3">
      <c r="A5" s="1">
        <v>485</v>
      </c>
      <c r="C5" s="2" t="s">
        <v>6</v>
      </c>
      <c r="D5" t="s">
        <v>0</v>
      </c>
      <c r="H5" s="6" t="s">
        <v>42</v>
      </c>
      <c r="I5" s="3">
        <v>33.352941176470587</v>
      </c>
      <c r="K5" s="6" t="s">
        <v>42</v>
      </c>
      <c r="L5" s="3">
        <v>4.75</v>
      </c>
    </row>
    <row r="6" spans="1:12" x14ac:dyDescent="0.3">
      <c r="C6" s="6" t="s">
        <v>42</v>
      </c>
      <c r="D6" s="1">
        <v>17</v>
      </c>
      <c r="H6" s="6" t="s">
        <v>43</v>
      </c>
      <c r="I6" s="3">
        <v>38.4</v>
      </c>
      <c r="K6" s="6" t="s">
        <v>43</v>
      </c>
      <c r="L6" s="3">
        <v>5.2</v>
      </c>
    </row>
    <row r="7" spans="1:12" x14ac:dyDescent="0.3">
      <c r="C7" s="6" t="s">
        <v>43</v>
      </c>
      <c r="D7" s="1">
        <v>10</v>
      </c>
      <c r="H7" s="6" t="s">
        <v>44</v>
      </c>
      <c r="I7" s="3">
        <v>38.521739130434781</v>
      </c>
      <c r="K7" s="6" t="s">
        <v>44</v>
      </c>
      <c r="L7" s="3">
        <v>3.375</v>
      </c>
    </row>
    <row r="8" spans="1:12" x14ac:dyDescent="0.3">
      <c r="A8" t="s">
        <v>2</v>
      </c>
      <c r="C8" s="6" t="s">
        <v>44</v>
      </c>
      <c r="D8" s="1">
        <v>23</v>
      </c>
      <c r="H8" s="6" t="s">
        <v>45</v>
      </c>
      <c r="I8" s="3">
        <v>30.4</v>
      </c>
      <c r="K8" s="6" t="s">
        <v>45</v>
      </c>
      <c r="L8" s="3">
        <v>5.8</v>
      </c>
    </row>
    <row r="9" spans="1:12" x14ac:dyDescent="0.3">
      <c r="A9" s="3">
        <v>35.507216494845359</v>
      </c>
      <c r="C9" s="6" t="s">
        <v>45</v>
      </c>
      <c r="D9" s="1">
        <v>15</v>
      </c>
      <c r="H9" s="6" t="s">
        <v>46</v>
      </c>
      <c r="I9" s="3">
        <v>33.142857142857146</v>
      </c>
      <c r="K9" s="6" t="s">
        <v>46</v>
      </c>
      <c r="L9" s="3">
        <v>4.375</v>
      </c>
    </row>
    <row r="10" spans="1:12" x14ac:dyDescent="0.3">
      <c r="C10" s="6" t="s">
        <v>46</v>
      </c>
      <c r="D10" s="1">
        <v>14</v>
      </c>
      <c r="H10" s="6" t="s">
        <v>47</v>
      </c>
      <c r="I10" s="3">
        <v>38.18181818181818</v>
      </c>
      <c r="K10" s="6" t="s">
        <v>47</v>
      </c>
      <c r="L10" s="3">
        <v>3</v>
      </c>
    </row>
    <row r="11" spans="1:12" x14ac:dyDescent="0.3">
      <c r="C11" s="6" t="s">
        <v>47</v>
      </c>
      <c r="D11" s="1">
        <v>11</v>
      </c>
      <c r="H11" s="6" t="s">
        <v>48</v>
      </c>
      <c r="I11" s="3">
        <v>39.733333333333334</v>
      </c>
      <c r="K11" s="6" t="s">
        <v>48</v>
      </c>
      <c r="L11" s="3">
        <v>5</v>
      </c>
    </row>
    <row r="12" spans="1:12" x14ac:dyDescent="0.3">
      <c r="A12" t="s">
        <v>5</v>
      </c>
      <c r="C12" s="6" t="s">
        <v>48</v>
      </c>
      <c r="D12" s="1">
        <v>15</v>
      </c>
      <c r="H12" s="6" t="s">
        <v>49</v>
      </c>
      <c r="I12" s="3">
        <v>37</v>
      </c>
      <c r="K12" s="6" t="s">
        <v>49</v>
      </c>
      <c r="L12" s="3">
        <v>3</v>
      </c>
    </row>
    <row r="13" spans="1:12" x14ac:dyDescent="0.3">
      <c r="A13" s="3">
        <v>4.7092198581560281</v>
      </c>
      <c r="C13" s="6" t="s">
        <v>49</v>
      </c>
      <c r="D13" s="1">
        <v>20</v>
      </c>
      <c r="H13" s="6" t="s">
        <v>50</v>
      </c>
      <c r="I13" s="3">
        <v>35.61904761904762</v>
      </c>
      <c r="K13" s="6" t="s">
        <v>50</v>
      </c>
      <c r="L13" s="3">
        <v>4.9090909090909092</v>
      </c>
    </row>
    <row r="14" spans="1:12" x14ac:dyDescent="0.3">
      <c r="C14" s="6" t="s">
        <v>50</v>
      </c>
      <c r="D14" s="1">
        <v>21</v>
      </c>
      <c r="H14" s="6" t="s">
        <v>51</v>
      </c>
      <c r="I14" s="3">
        <v>34.176470588235297</v>
      </c>
      <c r="K14" s="6" t="s">
        <v>51</v>
      </c>
      <c r="L14" s="3">
        <v>3.8333333333333335</v>
      </c>
    </row>
    <row r="15" spans="1:12" x14ac:dyDescent="0.3">
      <c r="C15" s="6" t="s">
        <v>51</v>
      </c>
      <c r="D15" s="1">
        <v>17</v>
      </c>
      <c r="H15" s="6" t="s">
        <v>52</v>
      </c>
      <c r="I15" s="3">
        <v>37.176470588235297</v>
      </c>
      <c r="K15" s="6" t="s">
        <v>52</v>
      </c>
      <c r="L15" s="3">
        <v>3.875</v>
      </c>
    </row>
    <row r="16" spans="1:12" x14ac:dyDescent="0.3">
      <c r="C16" s="6" t="s">
        <v>52</v>
      </c>
      <c r="D16" s="1">
        <v>17</v>
      </c>
      <c r="H16" s="6" t="s">
        <v>53</v>
      </c>
      <c r="I16" s="3">
        <v>36.647058823529413</v>
      </c>
      <c r="K16" s="6" t="s">
        <v>53</v>
      </c>
      <c r="L16" s="3">
        <v>4.333333333333333</v>
      </c>
    </row>
    <row r="17" spans="3:12" x14ac:dyDescent="0.3">
      <c r="C17" s="6" t="s">
        <v>53</v>
      </c>
      <c r="D17" s="1">
        <v>17</v>
      </c>
      <c r="H17" s="6" t="s">
        <v>54</v>
      </c>
      <c r="I17" s="3">
        <v>34.941176470588232</v>
      </c>
      <c r="K17" s="6" t="s">
        <v>54</v>
      </c>
      <c r="L17" s="3">
        <v>3.5</v>
      </c>
    </row>
    <row r="18" spans="3:12" x14ac:dyDescent="0.3">
      <c r="C18" s="6" t="s">
        <v>54</v>
      </c>
      <c r="D18" s="1">
        <v>17</v>
      </c>
      <c r="H18" s="6" t="s">
        <v>55</v>
      </c>
      <c r="I18" s="3">
        <v>44</v>
      </c>
      <c r="K18" s="6" t="s">
        <v>55</v>
      </c>
      <c r="L18" s="3">
        <v>5.4</v>
      </c>
    </row>
    <row r="19" spans="3:12" x14ac:dyDescent="0.3">
      <c r="C19" s="6" t="s">
        <v>55</v>
      </c>
      <c r="D19" s="1">
        <v>11</v>
      </c>
      <c r="H19" s="6" t="s">
        <v>56</v>
      </c>
      <c r="I19" s="3">
        <v>38.913043478260867</v>
      </c>
      <c r="K19" s="6" t="s">
        <v>56</v>
      </c>
      <c r="L19" s="3">
        <v>5.375</v>
      </c>
    </row>
    <row r="20" spans="3:12" x14ac:dyDescent="0.3">
      <c r="C20" s="6" t="s">
        <v>56</v>
      </c>
      <c r="D20" s="1">
        <v>23</v>
      </c>
      <c r="H20" s="6" t="s">
        <v>57</v>
      </c>
      <c r="I20" s="3">
        <v>31</v>
      </c>
      <c r="K20" s="6" t="s">
        <v>57</v>
      </c>
      <c r="L20" s="3">
        <v>3.3333333333333335</v>
      </c>
    </row>
    <row r="21" spans="3:12" x14ac:dyDescent="0.3">
      <c r="C21" s="6" t="s">
        <v>57</v>
      </c>
      <c r="D21" s="1">
        <v>14</v>
      </c>
      <c r="H21" s="6" t="s">
        <v>58</v>
      </c>
      <c r="I21" s="3">
        <v>34.227272727272727</v>
      </c>
      <c r="K21" s="6" t="s">
        <v>58</v>
      </c>
      <c r="L21" s="3">
        <v>6.2</v>
      </c>
    </row>
    <row r="22" spans="3:12" x14ac:dyDescent="0.3">
      <c r="C22" s="6" t="s">
        <v>58</v>
      </c>
      <c r="D22" s="1">
        <v>22</v>
      </c>
      <c r="H22" s="6" t="s">
        <v>59</v>
      </c>
      <c r="I22" s="3">
        <v>31</v>
      </c>
      <c r="K22" s="6" t="s">
        <v>59</v>
      </c>
      <c r="L22" s="3">
        <v>1.6666666666666667</v>
      </c>
    </row>
    <row r="23" spans="3:12" x14ac:dyDescent="0.3">
      <c r="C23" s="6" t="s">
        <v>59</v>
      </c>
      <c r="D23" s="1">
        <v>16</v>
      </c>
      <c r="H23" s="6" t="s">
        <v>60</v>
      </c>
      <c r="I23" s="3">
        <v>32.153846153846153</v>
      </c>
      <c r="K23" s="6" t="s">
        <v>60</v>
      </c>
      <c r="L23" s="3">
        <v>4.5</v>
      </c>
    </row>
    <row r="24" spans="3:12" x14ac:dyDescent="0.3">
      <c r="C24" s="6" t="s">
        <v>60</v>
      </c>
      <c r="D24" s="1">
        <v>13</v>
      </c>
      <c r="H24" s="6" t="s">
        <v>61</v>
      </c>
      <c r="I24" s="3">
        <v>32.785714285714285</v>
      </c>
      <c r="K24" s="6" t="s">
        <v>61</v>
      </c>
      <c r="L24" s="3">
        <v>7.666666666666667</v>
      </c>
    </row>
    <row r="25" spans="3:12" x14ac:dyDescent="0.3">
      <c r="C25" s="6" t="s">
        <v>61</v>
      </c>
      <c r="D25" s="1">
        <v>14</v>
      </c>
      <c r="H25" s="6" t="s">
        <v>62</v>
      </c>
      <c r="I25" s="3">
        <v>30</v>
      </c>
      <c r="K25" s="6" t="s">
        <v>62</v>
      </c>
      <c r="L25" s="3">
        <v>4.4000000000000004</v>
      </c>
    </row>
    <row r="26" spans="3:12" x14ac:dyDescent="0.3">
      <c r="C26" s="6" t="s">
        <v>62</v>
      </c>
      <c r="D26" s="1">
        <v>12</v>
      </c>
      <c r="H26" s="6" t="s">
        <v>63</v>
      </c>
      <c r="I26" s="3">
        <v>33.5</v>
      </c>
      <c r="K26" s="6" t="s">
        <v>63</v>
      </c>
      <c r="L26" s="3">
        <v>6.5</v>
      </c>
    </row>
    <row r="27" spans="3:12" x14ac:dyDescent="0.3">
      <c r="C27" s="6" t="s">
        <v>63</v>
      </c>
      <c r="D27" s="1">
        <v>12</v>
      </c>
      <c r="H27" s="6" t="s">
        <v>64</v>
      </c>
      <c r="I27" s="3">
        <v>32.950000000000003</v>
      </c>
      <c r="K27" s="6" t="s">
        <v>64</v>
      </c>
      <c r="L27" s="3">
        <v>5</v>
      </c>
    </row>
    <row r="28" spans="3:12" x14ac:dyDescent="0.3">
      <c r="C28" s="6" t="s">
        <v>64</v>
      </c>
      <c r="D28" s="1">
        <v>20</v>
      </c>
      <c r="H28" s="6" t="s">
        <v>65</v>
      </c>
      <c r="I28" s="3">
        <v>35.842105263157897</v>
      </c>
      <c r="K28" s="6" t="s">
        <v>65</v>
      </c>
      <c r="L28" s="3">
        <v>5.25</v>
      </c>
    </row>
    <row r="29" spans="3:12" x14ac:dyDescent="0.3">
      <c r="C29" s="6" t="s">
        <v>65</v>
      </c>
      <c r="D29" s="1">
        <v>19</v>
      </c>
      <c r="H29" s="6" t="s">
        <v>66</v>
      </c>
      <c r="I29" s="3">
        <v>33.846153846153847</v>
      </c>
      <c r="K29" s="6" t="s">
        <v>66</v>
      </c>
      <c r="L29" s="3">
        <v>4.75</v>
      </c>
    </row>
    <row r="30" spans="3:12" x14ac:dyDescent="0.3">
      <c r="C30" s="6" t="s">
        <v>66</v>
      </c>
      <c r="D30" s="1">
        <v>13</v>
      </c>
      <c r="H30" s="6" t="s">
        <v>67</v>
      </c>
      <c r="I30" s="3">
        <v>39.06666666666667</v>
      </c>
      <c r="K30" s="6" t="s">
        <v>67</v>
      </c>
      <c r="L30" s="3">
        <v>5</v>
      </c>
    </row>
    <row r="31" spans="3:12" x14ac:dyDescent="0.3">
      <c r="C31" s="6" t="s">
        <v>67</v>
      </c>
      <c r="D31" s="1">
        <v>15</v>
      </c>
      <c r="H31" s="6" t="s">
        <v>68</v>
      </c>
      <c r="I31" s="3">
        <v>36.684210526315788</v>
      </c>
      <c r="K31" s="6" t="s">
        <v>68</v>
      </c>
      <c r="L31" s="3">
        <v>4</v>
      </c>
    </row>
    <row r="32" spans="3:12" x14ac:dyDescent="0.3">
      <c r="C32" s="6" t="s">
        <v>68</v>
      </c>
      <c r="D32" s="1">
        <v>19</v>
      </c>
      <c r="H32" s="6" t="s">
        <v>69</v>
      </c>
      <c r="I32" s="3">
        <v>33.764705882352942</v>
      </c>
      <c r="K32" s="6" t="s">
        <v>69</v>
      </c>
      <c r="L32" s="3">
        <v>5.333333333333333</v>
      </c>
    </row>
    <row r="33" spans="1:12" x14ac:dyDescent="0.3">
      <c r="C33" s="6" t="s">
        <v>69</v>
      </c>
      <c r="D33" s="1">
        <v>17</v>
      </c>
      <c r="H33" s="6" t="s">
        <v>70</v>
      </c>
      <c r="I33" s="3">
        <v>34.533333333333331</v>
      </c>
      <c r="K33" s="6" t="s">
        <v>70</v>
      </c>
      <c r="L33" s="3">
        <v>6</v>
      </c>
    </row>
    <row r="34" spans="1:12" x14ac:dyDescent="0.3">
      <c r="C34" s="6" t="s">
        <v>70</v>
      </c>
      <c r="D34" s="1">
        <v>15</v>
      </c>
      <c r="H34" s="6" t="s">
        <v>71</v>
      </c>
      <c r="I34" s="3">
        <v>42.125</v>
      </c>
      <c r="K34" s="6" t="s">
        <v>71</v>
      </c>
      <c r="L34" s="3">
        <v>6.333333333333333</v>
      </c>
    </row>
    <row r="35" spans="1:12" x14ac:dyDescent="0.3">
      <c r="C35" s="6" t="s">
        <v>71</v>
      </c>
      <c r="D35" s="1">
        <v>16</v>
      </c>
      <c r="H35" s="6" t="s">
        <v>7</v>
      </c>
      <c r="I35" s="1">
        <v>35.507216494845359</v>
      </c>
      <c r="K35" s="6" t="s">
        <v>7</v>
      </c>
      <c r="L35" s="1">
        <v>4.7092198581560281</v>
      </c>
    </row>
    <row r="36" spans="1:12" x14ac:dyDescent="0.3">
      <c r="C36" s="6" t="s">
        <v>7</v>
      </c>
      <c r="D36" s="1">
        <v>485</v>
      </c>
    </row>
    <row r="38" spans="1:12" x14ac:dyDescent="0.3">
      <c r="A38" s="2" t="s">
        <v>6</v>
      </c>
      <c r="B38" t="s">
        <v>11</v>
      </c>
      <c r="C38" t="s">
        <v>12</v>
      </c>
    </row>
    <row r="39" spans="1:12" x14ac:dyDescent="0.3">
      <c r="A39" s="6" t="s">
        <v>3</v>
      </c>
      <c r="B39" s="4">
        <v>235</v>
      </c>
      <c r="C39" s="7">
        <v>0.4845360824742268</v>
      </c>
    </row>
    <row r="40" spans="1:12" x14ac:dyDescent="0.3">
      <c r="A40" s="6" t="s">
        <v>4</v>
      </c>
      <c r="B40" s="4">
        <v>250</v>
      </c>
      <c r="C40" s="7">
        <v>0.51546391752577314</v>
      </c>
    </row>
    <row r="41" spans="1:12" x14ac:dyDescent="0.3">
      <c r="A41" s="6" t="s">
        <v>7</v>
      </c>
      <c r="B41" s="3">
        <v>485</v>
      </c>
      <c r="C41" s="7">
        <v>1</v>
      </c>
    </row>
    <row r="46" spans="1:12" x14ac:dyDescent="0.3">
      <c r="A46" s="10" t="s">
        <v>13</v>
      </c>
      <c r="B46" s="10" t="s">
        <v>1</v>
      </c>
      <c r="C46" s="10" t="s">
        <v>14</v>
      </c>
      <c r="D46" s="8"/>
    </row>
    <row r="47" spans="1:12" x14ac:dyDescent="0.3">
      <c r="A47" s="11" t="str">
        <f>A40</f>
        <v>Not Admitted</v>
      </c>
      <c r="B47" s="11">
        <f>B40</f>
        <v>250</v>
      </c>
      <c r="C47" s="12">
        <f>C40</f>
        <v>0.51546391752577314</v>
      </c>
      <c r="D47" s="9"/>
    </row>
    <row r="48" spans="1:12" x14ac:dyDescent="0.3">
      <c r="A48" s="11" t="str">
        <f>A39</f>
        <v>Admitted</v>
      </c>
      <c r="B48" s="11">
        <f>B39</f>
        <v>235</v>
      </c>
      <c r="C48" s="12">
        <f>C39</f>
        <v>0.4845360824742268</v>
      </c>
      <c r="D48" s="9"/>
    </row>
    <row r="51" spans="1:9" x14ac:dyDescent="0.3">
      <c r="A51" t="s">
        <v>35</v>
      </c>
      <c r="E51" t="s">
        <v>37</v>
      </c>
    </row>
    <row r="52" spans="1:9" x14ac:dyDescent="0.3">
      <c r="A52" s="2" t="s">
        <v>6</v>
      </c>
      <c r="B52" t="s">
        <v>15</v>
      </c>
      <c r="E52" s="2" t="s">
        <v>6</v>
      </c>
      <c r="F52" t="s">
        <v>36</v>
      </c>
      <c r="H52" s="2" t="s">
        <v>6</v>
      </c>
      <c r="I52" t="s">
        <v>40</v>
      </c>
    </row>
    <row r="53" spans="1:9" x14ac:dyDescent="0.3">
      <c r="A53" s="6" t="s">
        <v>16</v>
      </c>
      <c r="B53" s="4">
        <v>59</v>
      </c>
      <c r="E53" s="6" t="s">
        <v>26</v>
      </c>
      <c r="F53" s="4">
        <v>297</v>
      </c>
      <c r="H53" s="6" t="s">
        <v>33</v>
      </c>
      <c r="I53" s="4">
        <v>2</v>
      </c>
    </row>
    <row r="54" spans="1:9" x14ac:dyDescent="0.3">
      <c r="A54" s="6" t="s">
        <v>17</v>
      </c>
      <c r="B54" s="4">
        <v>55</v>
      </c>
      <c r="E54" s="6" t="s">
        <v>28</v>
      </c>
      <c r="F54" s="4">
        <v>188</v>
      </c>
      <c r="H54" s="6" t="s">
        <v>31</v>
      </c>
      <c r="I54" s="4">
        <v>11</v>
      </c>
    </row>
    <row r="55" spans="1:9" x14ac:dyDescent="0.3">
      <c r="A55" s="6" t="s">
        <v>18</v>
      </c>
      <c r="B55" s="4">
        <v>69</v>
      </c>
      <c r="E55" s="6" t="s">
        <v>7</v>
      </c>
      <c r="F55" s="3">
        <v>485</v>
      </c>
      <c r="H55" s="6" t="s">
        <v>39</v>
      </c>
      <c r="I55" s="4">
        <v>12</v>
      </c>
    </row>
    <row r="56" spans="1:9" x14ac:dyDescent="0.3">
      <c r="A56" s="6" t="s">
        <v>19</v>
      </c>
      <c r="B56" s="4">
        <v>64</v>
      </c>
      <c r="H56" s="6" t="s">
        <v>32</v>
      </c>
      <c r="I56" s="4">
        <v>12</v>
      </c>
    </row>
    <row r="57" spans="1:9" x14ac:dyDescent="0.3">
      <c r="A57" s="6" t="s">
        <v>20</v>
      </c>
      <c r="B57" s="4">
        <v>56</v>
      </c>
      <c r="H57" s="6" t="s">
        <v>34</v>
      </c>
      <c r="I57" s="4">
        <v>13</v>
      </c>
    </row>
    <row r="58" spans="1:9" x14ac:dyDescent="0.3">
      <c r="A58" s="6" t="s">
        <v>21</v>
      </c>
      <c r="B58" s="4">
        <v>60</v>
      </c>
      <c r="E58" s="2" t="s">
        <v>6</v>
      </c>
      <c r="F58" t="s">
        <v>38</v>
      </c>
      <c r="H58" s="6" t="s">
        <v>30</v>
      </c>
      <c r="I58" s="4">
        <v>53</v>
      </c>
    </row>
    <row r="59" spans="1:9" x14ac:dyDescent="0.3">
      <c r="A59" s="6" t="s">
        <v>22</v>
      </c>
      <c r="B59" s="4">
        <v>51</v>
      </c>
      <c r="E59" s="6" t="s">
        <v>27</v>
      </c>
      <c r="F59" s="4">
        <v>239</v>
      </c>
      <c r="H59" s="6" t="s">
        <v>29</v>
      </c>
      <c r="I59" s="4">
        <v>91</v>
      </c>
    </row>
    <row r="60" spans="1:9" x14ac:dyDescent="0.3">
      <c r="A60" s="6" t="s">
        <v>23</v>
      </c>
      <c r="B60" s="4">
        <v>71</v>
      </c>
      <c r="E60" s="6" t="s">
        <v>24</v>
      </c>
      <c r="F60" s="4">
        <v>246</v>
      </c>
      <c r="H60" s="6" t="s">
        <v>25</v>
      </c>
      <c r="I60" s="4">
        <v>291</v>
      </c>
    </row>
    <row r="61" spans="1:9" x14ac:dyDescent="0.3">
      <c r="A61" s="6" t="s">
        <v>7</v>
      </c>
      <c r="B61" s="3">
        <v>485</v>
      </c>
      <c r="E61" s="6" t="s">
        <v>7</v>
      </c>
      <c r="F61" s="3">
        <v>485</v>
      </c>
      <c r="H61" s="6" t="s">
        <v>7</v>
      </c>
      <c r="I61" s="3">
        <v>485</v>
      </c>
    </row>
    <row r="66" spans="1:1" x14ac:dyDescent="0.3">
      <c r="A66" s="2" t="s">
        <v>6</v>
      </c>
    </row>
    <row r="67" spans="1:1" x14ac:dyDescent="0.3">
      <c r="A67" s="6" t="s">
        <v>41</v>
      </c>
    </row>
    <row r="68" spans="1:1" x14ac:dyDescent="0.3">
      <c r="A68" s="6" t="s">
        <v>7</v>
      </c>
    </row>
  </sheetData>
  <pageMargins left="0.7" right="0.7" top="0.75" bottom="0.75" header="0.3" footer="0.3"/>
  <pageSetup orientation="portrait"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C73F7-409E-4E82-B36C-28187CF319AA}">
  <dimension ref="A1:N17"/>
  <sheetViews>
    <sheetView tabSelected="1" zoomScale="170" zoomScaleNormal="170" workbookViewId="0">
      <selection activeCell="L19" sqref="L19"/>
    </sheetView>
  </sheetViews>
  <sheetFormatPr defaultRowHeight="14.4" x14ac:dyDescent="0.3"/>
  <sheetData>
    <row r="1" spans="1:14" x14ac:dyDescent="0.3">
      <c r="A1" s="5"/>
      <c r="B1" s="5"/>
      <c r="C1" s="5"/>
      <c r="D1" s="5"/>
      <c r="E1" s="5"/>
      <c r="F1" s="5"/>
      <c r="G1" s="5"/>
      <c r="H1" s="5"/>
      <c r="I1" s="5"/>
      <c r="J1" s="5"/>
      <c r="K1" s="5"/>
      <c r="L1" s="5"/>
      <c r="M1" s="5"/>
      <c r="N1" s="5"/>
    </row>
    <row r="2" spans="1:14" x14ac:dyDescent="0.3">
      <c r="A2" s="5"/>
      <c r="B2" s="5"/>
      <c r="C2" s="5"/>
      <c r="D2" s="5"/>
      <c r="E2" s="5"/>
      <c r="F2" s="5"/>
      <c r="G2" s="5"/>
      <c r="H2" s="5"/>
      <c r="I2" s="5"/>
      <c r="J2" s="5"/>
      <c r="K2" s="5"/>
      <c r="L2" s="5"/>
      <c r="M2" s="5"/>
      <c r="N2" s="5"/>
    </row>
    <row r="3" spans="1:14" x14ac:dyDescent="0.3">
      <c r="A3" s="5"/>
      <c r="B3" s="5"/>
      <c r="C3" s="5"/>
      <c r="D3" s="5"/>
      <c r="E3" s="5"/>
      <c r="F3" s="5"/>
      <c r="G3" s="5"/>
      <c r="H3" s="5"/>
      <c r="I3" s="5"/>
      <c r="J3" s="5"/>
      <c r="K3" s="5"/>
      <c r="L3" s="5"/>
      <c r="M3" s="5"/>
      <c r="N3" s="5"/>
    </row>
    <row r="4" spans="1:14" x14ac:dyDescent="0.3">
      <c r="A4" s="5"/>
      <c r="B4" s="5"/>
      <c r="C4" s="5"/>
      <c r="D4" s="5"/>
      <c r="E4" s="5"/>
      <c r="F4" s="5"/>
      <c r="G4" s="5"/>
      <c r="H4" s="5"/>
      <c r="I4" s="5"/>
      <c r="J4" s="5"/>
      <c r="K4" s="5"/>
      <c r="L4" s="5"/>
      <c r="M4" s="5"/>
      <c r="N4" s="5"/>
    </row>
    <row r="5" spans="1:14" x14ac:dyDescent="0.3">
      <c r="A5" s="5"/>
      <c r="B5" s="5"/>
      <c r="C5" s="5"/>
      <c r="D5" s="5"/>
      <c r="E5" s="5"/>
      <c r="F5" s="5"/>
      <c r="G5" s="5"/>
      <c r="H5" s="5"/>
      <c r="I5" s="5"/>
      <c r="J5" s="5"/>
      <c r="K5" s="5"/>
      <c r="L5" s="5"/>
      <c r="M5" s="5"/>
      <c r="N5" s="5"/>
    </row>
    <row r="6" spans="1:14" x14ac:dyDescent="0.3">
      <c r="A6" s="5"/>
      <c r="B6" s="5"/>
      <c r="C6" s="5"/>
      <c r="D6" s="5"/>
      <c r="E6" s="5"/>
      <c r="F6" s="5"/>
      <c r="G6" s="5"/>
      <c r="H6" s="5"/>
      <c r="I6" s="5"/>
      <c r="J6" s="5"/>
      <c r="K6" s="5"/>
      <c r="L6" s="5"/>
      <c r="M6" s="5"/>
      <c r="N6" s="5"/>
    </row>
    <row r="7" spans="1:14" x14ac:dyDescent="0.3">
      <c r="A7" s="5"/>
      <c r="B7" s="5"/>
      <c r="C7" s="5"/>
      <c r="D7" s="5"/>
      <c r="E7" s="5"/>
      <c r="F7" s="5"/>
      <c r="G7" s="5"/>
      <c r="H7" s="5"/>
      <c r="I7" s="5"/>
      <c r="J7" s="5"/>
      <c r="K7" s="5"/>
      <c r="L7" s="5"/>
      <c r="M7" s="5"/>
      <c r="N7" s="5"/>
    </row>
    <row r="8" spans="1:14" x14ac:dyDescent="0.3">
      <c r="A8" s="5"/>
      <c r="B8" s="5"/>
      <c r="C8" s="5"/>
      <c r="D8" s="5"/>
      <c r="E8" s="5"/>
      <c r="F8" s="5"/>
      <c r="G8" s="5"/>
      <c r="H8" s="5"/>
      <c r="I8" s="5"/>
      <c r="J8" s="5"/>
      <c r="K8" s="5"/>
      <c r="L8" s="5"/>
      <c r="M8" s="5"/>
      <c r="N8" s="5"/>
    </row>
    <row r="9" spans="1:14" x14ac:dyDescent="0.3">
      <c r="A9" s="5"/>
      <c r="B9" s="5"/>
      <c r="C9" s="5"/>
      <c r="D9" s="5"/>
      <c r="E9" s="5"/>
      <c r="F9" s="5"/>
      <c r="G9" s="5"/>
      <c r="H9" s="5"/>
      <c r="I9" s="5"/>
      <c r="J9" s="5"/>
      <c r="K9" s="5"/>
      <c r="L9" s="5"/>
      <c r="M9" s="5"/>
      <c r="N9" s="5"/>
    </row>
    <row r="10" spans="1:14" x14ac:dyDescent="0.3">
      <c r="A10" s="5"/>
      <c r="B10" s="5"/>
      <c r="C10" s="5"/>
      <c r="D10" s="5"/>
      <c r="E10" s="5"/>
      <c r="F10" s="5"/>
      <c r="G10" s="5"/>
      <c r="H10" s="5"/>
      <c r="I10" s="5"/>
      <c r="J10" s="5"/>
      <c r="K10" s="5"/>
      <c r="L10" s="5"/>
      <c r="M10" s="5"/>
      <c r="N10" s="5"/>
    </row>
    <row r="11" spans="1:14" x14ac:dyDescent="0.3">
      <c r="A11" s="5"/>
      <c r="B11" s="5"/>
      <c r="C11" s="5"/>
      <c r="D11" s="5"/>
      <c r="E11" s="5"/>
      <c r="F11" s="5"/>
      <c r="G11" s="5"/>
      <c r="H11" s="5"/>
      <c r="I11" s="5"/>
      <c r="J11" s="5"/>
      <c r="K11" s="5"/>
      <c r="L11" s="5"/>
      <c r="M11" s="5"/>
      <c r="N11" s="5"/>
    </row>
    <row r="12" spans="1:14" x14ac:dyDescent="0.3">
      <c r="A12" s="5"/>
      <c r="B12" s="5"/>
      <c r="C12" s="5"/>
      <c r="D12" s="5"/>
      <c r="E12" s="5"/>
      <c r="F12" s="5"/>
      <c r="G12" s="5"/>
      <c r="H12" s="5"/>
      <c r="I12" s="5"/>
      <c r="J12" s="5"/>
      <c r="K12" s="5"/>
      <c r="L12" s="5"/>
      <c r="M12" s="5"/>
      <c r="N12" s="5"/>
    </row>
    <row r="13" spans="1:14" x14ac:dyDescent="0.3">
      <c r="A13" s="5"/>
      <c r="B13" s="5"/>
      <c r="C13" s="5"/>
      <c r="D13" s="5"/>
      <c r="E13" s="5"/>
      <c r="F13" s="5"/>
      <c r="G13" s="5"/>
      <c r="H13" s="5"/>
      <c r="I13" s="5"/>
      <c r="J13" s="5"/>
      <c r="K13" s="5"/>
      <c r="L13" s="5"/>
      <c r="M13" s="5"/>
      <c r="N13" s="5"/>
    </row>
    <row r="14" spans="1:14" x14ac:dyDescent="0.3">
      <c r="A14" s="5"/>
      <c r="B14" s="5"/>
      <c r="C14" s="5"/>
      <c r="D14" s="5"/>
      <c r="E14" s="5"/>
      <c r="F14" s="5"/>
      <c r="G14" s="5"/>
      <c r="H14" s="5"/>
      <c r="I14" s="5"/>
      <c r="J14" s="5"/>
      <c r="K14" s="5"/>
      <c r="L14" s="5"/>
      <c r="M14" s="5"/>
      <c r="N14" s="5"/>
    </row>
    <row r="15" spans="1:14" x14ac:dyDescent="0.3">
      <c r="A15" s="5"/>
      <c r="B15" s="5"/>
      <c r="C15" s="5"/>
      <c r="D15" s="5"/>
      <c r="E15" s="5"/>
      <c r="F15" s="5"/>
      <c r="G15" s="5"/>
      <c r="H15" s="5"/>
      <c r="I15" s="5"/>
      <c r="J15" s="5"/>
      <c r="K15" s="5"/>
      <c r="L15" s="5"/>
      <c r="M15" s="5"/>
      <c r="N15" s="5"/>
    </row>
    <row r="16" spans="1:14" x14ac:dyDescent="0.3">
      <c r="A16" s="5"/>
      <c r="B16" s="5"/>
      <c r="C16" s="5"/>
      <c r="D16" s="5"/>
      <c r="E16" s="5"/>
      <c r="F16" s="5"/>
      <c r="G16" s="5"/>
      <c r="H16" s="5"/>
      <c r="I16" s="5"/>
      <c r="J16" s="5"/>
      <c r="K16" s="5"/>
      <c r="L16" s="5"/>
      <c r="M16" s="5"/>
      <c r="N16" s="5"/>
    </row>
    <row r="17" spans="1:14" x14ac:dyDescent="0.3">
      <c r="A17" s="5"/>
      <c r="B17" s="5"/>
      <c r="C17" s="5"/>
      <c r="D17" s="5"/>
      <c r="E17" s="5"/>
      <c r="F17" s="5"/>
      <c r="G17" s="5"/>
      <c r="H17" s="5"/>
      <c r="I17" s="5"/>
      <c r="J17" s="5"/>
      <c r="K17" s="5"/>
      <c r="L17" s="5"/>
      <c r="M17" s="5"/>
      <c r="N17" s="5"/>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FF4FF1D-48A3-4DB0-BCA4-A3EDD0840567}">
  <ds:schemaRefs/>
</ds:datastoreItem>
</file>

<file path=customXml/itemProps2.xml><?xml version="1.0" encoding="utf-8"?>
<ds:datastoreItem xmlns:ds="http://schemas.openxmlformats.org/officeDocument/2006/customXml" ds:itemID="{CE8C98C3-60E1-44C0-9B36-6AC496BD0627}">
  <ds:schemaRefs/>
</ds:datastoreItem>
</file>

<file path=customXml/itemProps3.xml><?xml version="1.0" encoding="utf-8"?>
<ds:datastoreItem xmlns:ds="http://schemas.openxmlformats.org/officeDocument/2006/customXml" ds:itemID="{C185CB1B-15A6-4981-B928-A7754AE44649}">
  <ds:schemaRefs/>
</ds:datastoreItem>
</file>

<file path=customXml/itemProps4.xml><?xml version="1.0" encoding="utf-8"?>
<ds:datastoreItem xmlns:ds="http://schemas.openxmlformats.org/officeDocument/2006/customXml" ds:itemID="{D6151DE9-3C93-4C40-BF93-9C711DE45F77}">
  <ds:schemaRefs/>
</ds:datastoreItem>
</file>

<file path=customXml/itemProps5.xml><?xml version="1.0" encoding="utf-8"?>
<ds:datastoreItem xmlns:ds="http://schemas.openxmlformats.org/officeDocument/2006/customXml" ds:itemID="{72C01CF5-B088-4022-884C-4B5C8D64C858}">
  <ds:schemaRefs/>
</ds:datastoreItem>
</file>

<file path=customXml/itemProps6.xml><?xml version="1.0" encoding="utf-8"?>
<ds:datastoreItem xmlns:ds="http://schemas.openxmlformats.org/officeDocument/2006/customXml" ds:itemID="{D4886A0A-C6D9-4D77-9F3C-14BBBE587255}">
  <ds:schemaRefs/>
</ds:datastoreItem>
</file>

<file path=customXml/itemProps7.xml><?xml version="1.0" encoding="utf-8"?>
<ds:datastoreItem xmlns:ds="http://schemas.openxmlformats.org/officeDocument/2006/customXml" ds:itemID="{43E9CE27-256D-47BF-9898-9BADEDAA1187}">
  <ds:schemaRefs/>
</ds:datastoreItem>
</file>

<file path=customXml/itemProps8.xml><?xml version="1.0" encoding="utf-8"?>
<ds:datastoreItem xmlns:ds="http://schemas.openxmlformats.org/officeDocument/2006/customXml" ds:itemID="{2A7DA35D-F446-4C7A-96DA-6940F9F214C2}">
  <ds:schemaRefs/>
</ds:datastoreItem>
</file>

<file path=customXml/itemProps9.xml><?xml version="1.0" encoding="utf-8"?>
<ds:datastoreItem xmlns:ds="http://schemas.openxmlformats.org/officeDocument/2006/customXml" ds:itemID="{EB32C881-D43B-4C57-BE49-5CEFB67FD17F}">
  <ds:schemaRefs/>
</ds:datastoreItem>
</file>

<file path=customXml/itemProps10.xml><?xml version="1.0" encoding="utf-8"?>
<ds:datastoreItem xmlns:ds="http://schemas.openxmlformats.org/officeDocument/2006/customXml" ds:itemID="{0A1CCE4A-8226-4DEC-96C3-3D5B12DD2917}">
  <ds:schemaRefs/>
</ds:datastoreItem>
</file>

<file path=customXml/itemProps11.xml><?xml version="1.0" encoding="utf-8"?>
<ds:datastoreItem xmlns:ds="http://schemas.openxmlformats.org/officeDocument/2006/customXml" ds:itemID="{2DE900BD-B740-4D08-B1E1-E0F3F131889B}">
  <ds:schemaRefs>
    <ds:schemaRef ds:uri="http://schemas.microsoft.com/DataMashup"/>
  </ds:schemaRefs>
</ds:datastoreItem>
</file>

<file path=customXml/itemProps12.xml><?xml version="1.0" encoding="utf-8"?>
<ds:datastoreItem xmlns:ds="http://schemas.openxmlformats.org/officeDocument/2006/customXml" ds:itemID="{28C829F1-B098-40AC-B94E-6BF428B1E8D7}">
  <ds:schemaRefs/>
</ds:datastoreItem>
</file>

<file path=customXml/itemProps13.xml><?xml version="1.0" encoding="utf-8"?>
<ds:datastoreItem xmlns:ds="http://schemas.openxmlformats.org/officeDocument/2006/customXml" ds:itemID="{0E70604A-3CED-4B32-B8D5-1F430B883650}">
  <ds:schemaRefs/>
</ds:datastoreItem>
</file>

<file path=customXml/itemProps14.xml><?xml version="1.0" encoding="utf-8"?>
<ds:datastoreItem xmlns:ds="http://schemas.openxmlformats.org/officeDocument/2006/customXml" ds:itemID="{C74CB380-D371-4E9F-96D1-C7186518E057}">
  <ds:schemaRefs/>
</ds:datastoreItem>
</file>

<file path=customXml/itemProps15.xml><?xml version="1.0" encoding="utf-8"?>
<ds:datastoreItem xmlns:ds="http://schemas.openxmlformats.org/officeDocument/2006/customXml" ds:itemID="{7039B548-379F-4C4C-A44A-DD755E4EDC71}">
  <ds:schemaRefs/>
</ds:datastoreItem>
</file>

<file path=customXml/itemProps16.xml><?xml version="1.0" encoding="utf-8"?>
<ds:datastoreItem xmlns:ds="http://schemas.openxmlformats.org/officeDocument/2006/customXml" ds:itemID="{DEC124C5-047C-4AD7-85B2-0EBC8D4B4365}">
  <ds:schemaRefs/>
</ds:datastoreItem>
</file>

<file path=customXml/itemProps17.xml><?xml version="1.0" encoding="utf-8"?>
<ds:datastoreItem xmlns:ds="http://schemas.openxmlformats.org/officeDocument/2006/customXml" ds:itemID="{AD7E2BE6-5650-4A3E-A1AE-B238CD754C3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rishabh gupta</dc:creator>
  <cp:lastModifiedBy>rishabh gupta</cp:lastModifiedBy>
  <cp:lastPrinted>2026-04-05T10:23:30Z</cp:lastPrinted>
  <dcterms:created xsi:type="dcterms:W3CDTF">2026-04-04T03:09:43Z</dcterms:created>
  <dcterms:modified xsi:type="dcterms:W3CDTF">2026-04-29T12:47:37Z</dcterms:modified>
</cp:coreProperties>
</file>